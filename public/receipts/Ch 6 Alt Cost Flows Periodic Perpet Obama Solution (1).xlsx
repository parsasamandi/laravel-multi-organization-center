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hlc\OneDrive - Douglas College\1110\Review Questions\"/>
    </mc:Choice>
  </mc:AlternateContent>
  <bookViews>
    <workbookView xWindow="0" yWindow="105" windowWidth="19035" windowHeight="9225" activeTab="1"/>
  </bookViews>
  <sheets>
    <sheet name="GivenData" sheetId="13" r:id="rId1"/>
    <sheet name="Part 1a-FIFO" sheetId="22" r:id="rId2"/>
    <sheet name="Part 1b-Weighted Average" sheetId="25" r:id="rId3"/>
    <sheet name="Part 2-Specific ID" sheetId="27" r:id="rId4"/>
    <sheet name="Part 3" sheetId="28" r:id="rId5"/>
    <sheet name="Part 4" sheetId="29" r:id="rId6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4" i="22" l="1"/>
  <c r="A31" i="29"/>
  <c r="B10" i="22"/>
  <c r="C10" i="22"/>
  <c r="D10" i="22"/>
  <c r="D13" i="22"/>
  <c r="D20" i="22"/>
  <c r="D24" i="22"/>
  <c r="B43" i="29"/>
  <c r="B24" i="22"/>
  <c r="B44" i="29"/>
  <c r="D43" i="29"/>
  <c r="H47" i="29"/>
  <c r="H38" i="29"/>
  <c r="H48" i="29"/>
  <c r="H49" i="29"/>
  <c r="E9" i="29"/>
  <c r="E11" i="29"/>
  <c r="E12" i="29"/>
  <c r="E13" i="29"/>
  <c r="G15" i="27"/>
  <c r="I13" i="27"/>
  <c r="F16" i="27"/>
  <c r="G16" i="27"/>
  <c r="G17" i="27"/>
  <c r="C10" i="27"/>
  <c r="I10" i="27"/>
  <c r="I12" i="27"/>
  <c r="I15" i="27"/>
  <c r="I18" i="27"/>
  <c r="F21" i="27"/>
  <c r="G21" i="27"/>
  <c r="I20" i="27"/>
  <c r="F23" i="27"/>
  <c r="G23" i="27"/>
  <c r="G24" i="27"/>
  <c r="B10" i="25"/>
  <c r="C10" i="25"/>
  <c r="D10" i="25"/>
  <c r="J10" i="25"/>
  <c r="J12" i="25"/>
  <c r="D13" i="25"/>
  <c r="J13" i="25"/>
  <c r="J14" i="25"/>
  <c r="H10" i="25"/>
  <c r="H12" i="25"/>
  <c r="H13" i="25"/>
  <c r="H14" i="25"/>
  <c r="I14" i="25"/>
  <c r="F16" i="25"/>
  <c r="G16" i="25"/>
  <c r="J15" i="25"/>
  <c r="J16" i="25"/>
  <c r="J17" i="25"/>
  <c r="J18" i="25"/>
  <c r="D20" i="25"/>
  <c r="J19" i="25"/>
  <c r="J20" i="25"/>
  <c r="H15" i="25"/>
  <c r="H16" i="25"/>
  <c r="H17" i="25"/>
  <c r="H18" i="25"/>
  <c r="H19" i="25"/>
  <c r="H20" i="25"/>
  <c r="I20" i="25"/>
  <c r="F22" i="25"/>
  <c r="G22" i="25"/>
  <c r="G24" i="25"/>
  <c r="E18" i="29"/>
  <c r="C19" i="29"/>
  <c r="E19" i="29"/>
  <c r="C20" i="29"/>
  <c r="D20" i="29"/>
  <c r="E20" i="29"/>
  <c r="E21" i="29"/>
  <c r="C21" i="29"/>
  <c r="C7" i="29"/>
  <c r="E4" i="29"/>
  <c r="E5" i="29"/>
  <c r="E6" i="29"/>
  <c r="E7" i="29"/>
  <c r="H37" i="29"/>
  <c r="H39" i="29"/>
  <c r="H43" i="29"/>
  <c r="H42" i="29"/>
  <c r="H44" i="29"/>
  <c r="G15" i="22"/>
  <c r="I10" i="22"/>
  <c r="I12" i="22"/>
  <c r="I15" i="22"/>
  <c r="I18" i="22"/>
  <c r="F21" i="22"/>
  <c r="G21" i="22"/>
  <c r="I13" i="22"/>
  <c r="I16" i="22"/>
  <c r="I19" i="22"/>
  <c r="F22" i="22"/>
  <c r="G22" i="22"/>
  <c r="G24" i="22"/>
  <c r="E24" i="22"/>
  <c r="C15" i="28"/>
  <c r="H16" i="28"/>
  <c r="G15" i="28"/>
  <c r="F16" i="28"/>
  <c r="E15" i="28"/>
  <c r="D16" i="28"/>
  <c r="C8" i="28"/>
  <c r="D9" i="28"/>
  <c r="G8" i="28"/>
  <c r="E8" i="28"/>
  <c r="G11" i="28"/>
  <c r="H12" i="28"/>
  <c r="E11" i="28"/>
  <c r="F12" i="28"/>
  <c r="C11" i="28"/>
  <c r="D12" i="28"/>
  <c r="E17" i="27"/>
  <c r="H9" i="28"/>
  <c r="F9" i="28"/>
  <c r="B10" i="27"/>
  <c r="H10" i="27"/>
  <c r="H12" i="27"/>
  <c r="H15" i="27"/>
  <c r="J15" i="27"/>
  <c r="J18" i="27"/>
  <c r="J21" i="27"/>
  <c r="H13" i="27"/>
  <c r="H16" i="27"/>
  <c r="H19" i="27"/>
  <c r="H22" i="27"/>
  <c r="I16" i="27"/>
  <c r="I19" i="27"/>
  <c r="I22" i="27"/>
  <c r="J22" i="27"/>
  <c r="I23" i="27"/>
  <c r="H20" i="27"/>
  <c r="H23" i="27"/>
  <c r="J23" i="27"/>
  <c r="J24" i="27"/>
  <c r="I21" i="27"/>
  <c r="H18" i="27"/>
  <c r="H21" i="27"/>
  <c r="D13" i="27"/>
  <c r="J13" i="27"/>
  <c r="J16" i="27"/>
  <c r="J20" i="27"/>
  <c r="J19" i="27"/>
  <c r="J10" i="27"/>
  <c r="J12" i="27"/>
  <c r="D20" i="27"/>
  <c r="J21" i="25"/>
  <c r="J22" i="25"/>
  <c r="J23" i="25"/>
  <c r="H21" i="25"/>
  <c r="H22" i="25"/>
  <c r="H23" i="25"/>
  <c r="I23" i="25"/>
  <c r="I17" i="25"/>
  <c r="I10" i="25"/>
  <c r="H20" i="22"/>
  <c r="H23" i="22"/>
  <c r="I20" i="22"/>
  <c r="I23" i="22"/>
  <c r="J23" i="22"/>
  <c r="H13" i="22"/>
  <c r="H16" i="22"/>
  <c r="H19" i="22"/>
  <c r="H22" i="22"/>
  <c r="I22" i="22"/>
  <c r="J22" i="22"/>
  <c r="J24" i="22"/>
  <c r="J20" i="22"/>
  <c r="J16" i="22"/>
  <c r="J19" i="22"/>
  <c r="H10" i="22"/>
  <c r="H12" i="22"/>
  <c r="H15" i="22"/>
  <c r="J15" i="22"/>
  <c r="J18" i="22"/>
  <c r="H18" i="22"/>
  <c r="J13" i="22"/>
  <c r="J10" i="22"/>
  <c r="J12" i="22"/>
  <c r="A8" i="28"/>
  <c r="A11" i="28"/>
  <c r="A9" i="27"/>
  <c r="A12" i="27"/>
  <c r="A15" i="27"/>
  <c r="A18" i="27"/>
  <c r="A21" i="27"/>
  <c r="A9" i="25"/>
  <c r="A12" i="25"/>
  <c r="A15" i="25"/>
  <c r="A18" i="25"/>
  <c r="A21" i="25"/>
  <c r="A21" i="22"/>
  <c r="A18" i="22"/>
  <c r="A15" i="22"/>
  <c r="A12" i="22"/>
  <c r="A9" i="22"/>
  <c r="G4" i="13"/>
  <c r="G5" i="13"/>
  <c r="G6" i="13"/>
  <c r="D10" i="27"/>
</calcChain>
</file>

<file path=xl/sharedStrings.xml><?xml version="1.0" encoding="utf-8"?>
<sst xmlns="http://schemas.openxmlformats.org/spreadsheetml/2006/main" count="138" uniqueCount="70">
  <si>
    <t>Jan. 1</t>
  </si>
  <si>
    <t>Beginning inventory</t>
  </si>
  <si>
    <t>units @</t>
  </si>
  <si>
    <t>=</t>
  </si>
  <si>
    <t>Feb. 13</t>
  </si>
  <si>
    <t>Purchased</t>
  </si>
  <si>
    <t>Aug. 5</t>
  </si>
  <si>
    <t>Sales price per unit</t>
  </si>
  <si>
    <t>Sales units</t>
  </si>
  <si>
    <t>Feb. 15</t>
  </si>
  <si>
    <t>units</t>
  </si>
  <si>
    <t>Aug. 10</t>
  </si>
  <si>
    <t>Additional data for Part 2:</t>
  </si>
  <si>
    <t>units from beginning inventory and</t>
  </si>
  <si>
    <t>units from the Feb. 13 purchase</t>
  </si>
  <si>
    <t>units from the Aug. 5 purchase</t>
  </si>
  <si>
    <t>Part 1a</t>
  </si>
  <si>
    <t>FIFO perpetual</t>
  </si>
  <si>
    <t>Purchases</t>
  </si>
  <si>
    <t>Sales (at cost)</t>
  </si>
  <si>
    <t>Balance</t>
  </si>
  <si>
    <t>Date</t>
  </si>
  <si>
    <t>Units</t>
  </si>
  <si>
    <t>Unit Cost</t>
  </si>
  <si>
    <t>Total Cost</t>
  </si>
  <si>
    <t>Cost of Goods Sold</t>
  </si>
  <si>
    <t>Beginning inventory:</t>
  </si>
  <si>
    <t>Totals</t>
  </si>
  <si>
    <t>Ending Inventory</t>
  </si>
  <si>
    <t>Part 1b</t>
  </si>
  <si>
    <t>Moving weighted average (round to the nearest whole cent)</t>
  </si>
  <si>
    <t>Part 2</t>
  </si>
  <si>
    <t>Specific Identification</t>
  </si>
  <si>
    <t>Part 3</t>
  </si>
  <si>
    <t>Journalize sale and purchase</t>
  </si>
  <si>
    <t>FIFO</t>
  </si>
  <si>
    <t>Moving Weighted Average</t>
  </si>
  <si>
    <t>Account Titles</t>
  </si>
  <si>
    <t>Debit</t>
  </si>
  <si>
    <t>Credit</t>
  </si>
  <si>
    <t>Accounts Receivable</t>
  </si>
  <si>
    <t xml:space="preserve">     Sales</t>
  </si>
  <si>
    <t xml:space="preserve">     Merchandise Inventory</t>
  </si>
  <si>
    <t>To record sale of merchandise on credit.  The selling price:</t>
  </si>
  <si>
    <t>Merchandise Inventory</t>
  </si>
  <si>
    <t xml:space="preserve">     Accounts Payable</t>
  </si>
  <si>
    <t>To record purchase of inventory on credit</t>
  </si>
  <si>
    <t xml:space="preserve">  </t>
  </si>
  <si>
    <t>Part 4</t>
  </si>
  <si>
    <t>Purchases:</t>
  </si>
  <si>
    <t>Beginning</t>
  </si>
  <si>
    <t>Sales:</t>
  </si>
  <si>
    <t>Remaining</t>
  </si>
  <si>
    <t>WEIGHTED AVERAGE</t>
  </si>
  <si>
    <t>Average cost per unit:</t>
  </si>
  <si>
    <t xml:space="preserve">  =</t>
  </si>
  <si>
    <t>GAFS $</t>
  </si>
  <si>
    <t>Ending inventory in units:</t>
  </si>
  <si>
    <t>GAFS #</t>
  </si>
  <si>
    <t>Opening inventory</t>
  </si>
  <si>
    <t>Purchased 200+345=</t>
  </si>
  <si>
    <t>Opening + purchases in $</t>
  </si>
  <si>
    <t>Goods avail for sale</t>
  </si>
  <si>
    <t>Opening + purchases in #</t>
  </si>
  <si>
    <t>Sold  300 + 335 =</t>
  </si>
  <si>
    <t>(600x105$) + (200x$109 + 345x112$)</t>
  </si>
  <si>
    <t xml:space="preserve">        600    +  200           + 345</t>
  </si>
  <si>
    <t>Merchandise Inventory at year end:</t>
  </si>
  <si>
    <t xml:space="preserve">        x</t>
  </si>
  <si>
    <t>Cost of Goods Sold: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</si>
</sst>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;\-\ #,##0\ ;\-0\-\ "/>
    <numFmt numFmtId="165" formatCode="\ &quot;$&quot;* #,##0\ ;\ \-&quot;$&quot;* #,##0\ ;\ &quot;$&quot;* \-0\-\ "/>
    <numFmt numFmtId="166" formatCode="#,##0.00\ ;\-\ #,##0.00\ ;\-0.00\-\ "/>
    <numFmt numFmtId="167" formatCode="#,##0\ ;\(#,##0\);\-0\-\ "/>
    <numFmt numFmtId="168" formatCode="\ &quot;$&quot;* #,##0\ ;\ &quot;$&quot;* \(#,##0\);\ &quot;$&quot;* \-0\-\ "/>
    <numFmt numFmtId="169" formatCode="\ &quot;$&quot;* #,##0.00\ ;\ &quot;$&quot;* \(#,##0.00\);\ &quot;$&quot;* \-0.00\-\ "/>
    <numFmt numFmtId="170" formatCode="\ &quot;$&quot;\ #,##0.00\ ;\ &quot;$&quot;\ \(#,##0.00\);\ &quot;$&quot;\ \-0.00\-\ "/>
    <numFmt numFmtId="171" formatCode="_(* #,##0_);_(* \(#,##0\);_(* &quot;-&quot;??_);_(@_)"/>
    <numFmt numFmtId="172" formatCode="_(&quot;$&quot;* #,##0.0000_);_(&quot;$&quot;* \(#,##0.0000\);_(&quot;$&quot;* &quot;-&quot;??_);_(@_)"/>
    <numFmt numFmtId="173" formatCode="_(&quot;$&quot;* #,##0_);_(&quot;$&quot;* \(#,##0\);_(&quot;$&quot;* &quot;-&quot;??_);_(@_)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u val="singleAccounting"/>
      <sz val="10"/>
      <name val="Arial"/>
      <family val="2"/>
    </font>
    <font>
      <u val="doubleAccounting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indexed="22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22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auto="1"/>
      </right>
      <top/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quotePrefix="1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164" fontId="0" fillId="0" borderId="2" xfId="0" applyNumberFormat="1" applyBorder="1"/>
    <xf numFmtId="164" fontId="0" fillId="0" borderId="14" xfId="0" applyNumberFormat="1" applyBorder="1"/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2" borderId="18" xfId="0" applyFill="1" applyBorder="1"/>
    <xf numFmtId="0" fontId="0" fillId="0" borderId="6" xfId="0" quotePrefix="1" applyBorder="1"/>
    <xf numFmtId="0" fontId="0" fillId="0" borderId="0" xfId="0" applyFill="1" applyBorder="1"/>
    <xf numFmtId="0" fontId="0" fillId="0" borderId="8" xfId="0" applyBorder="1"/>
    <xf numFmtId="0" fontId="0" fillId="0" borderId="14" xfId="0" applyBorder="1"/>
    <xf numFmtId="0" fontId="0" fillId="0" borderId="0" xfId="0" applyBorder="1"/>
    <xf numFmtId="0" fontId="3" fillId="0" borderId="0" xfId="0" applyFont="1" applyBorder="1"/>
    <xf numFmtId="0" fontId="3" fillId="0" borderId="19" xfId="0" applyFont="1" applyBorder="1"/>
    <xf numFmtId="166" fontId="0" fillId="0" borderId="14" xfId="0" applyNumberFormat="1" applyBorder="1"/>
    <xf numFmtId="166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1" xfId="0" applyNumberFormat="1" applyBorder="1"/>
    <xf numFmtId="0" fontId="0" fillId="0" borderId="8" xfId="0" quotePrefix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3" fillId="0" borderId="20" xfId="0" applyFont="1" applyBorder="1"/>
    <xf numFmtId="0" fontId="0" fillId="3" borderId="15" xfId="0" quotePrefix="1" applyFill="1" applyBorder="1"/>
    <xf numFmtId="0" fontId="0" fillId="3" borderId="16" xfId="0" applyFill="1" applyBorder="1"/>
    <xf numFmtId="165" fontId="0" fillId="3" borderId="16" xfId="0" applyNumberFormat="1" applyFill="1" applyBorder="1"/>
    <xf numFmtId="0" fontId="0" fillId="3" borderId="16" xfId="0" quotePrefix="1" applyFill="1" applyBorder="1"/>
    <xf numFmtId="0" fontId="0" fillId="3" borderId="17" xfId="0" applyFill="1" applyBorder="1"/>
    <xf numFmtId="0" fontId="0" fillId="3" borderId="8" xfId="0" applyFill="1" applyBorder="1"/>
    <xf numFmtId="0" fontId="0" fillId="3" borderId="10" xfId="0" applyFill="1" applyBorder="1"/>
    <xf numFmtId="6" fontId="0" fillId="3" borderId="10" xfId="0" applyNumberFormat="1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0" xfId="0" applyFill="1" applyBorder="1"/>
    <xf numFmtId="6" fontId="0" fillId="3" borderId="0" xfId="0" applyNumberFormat="1" applyFill="1" applyBorder="1"/>
    <xf numFmtId="0" fontId="0" fillId="3" borderId="21" xfId="0" applyFill="1" applyBorder="1"/>
    <xf numFmtId="0" fontId="0" fillId="3" borderId="2" xfId="0" quotePrefix="1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14" xfId="0" quotePrefix="1" applyFill="1" applyBorder="1"/>
    <xf numFmtId="0" fontId="0" fillId="3" borderId="8" xfId="0" quotePrefix="1" applyFill="1" applyBorder="1"/>
    <xf numFmtId="167" fontId="0" fillId="0" borderId="14" xfId="0" applyNumberFormat="1" applyBorder="1" applyAlignment="1"/>
    <xf numFmtId="167" fontId="0" fillId="0" borderId="22" xfId="0" applyNumberFormat="1" applyBorder="1" applyAlignment="1"/>
    <xf numFmtId="167" fontId="0" fillId="0" borderId="9" xfId="0" applyNumberFormat="1" applyBorder="1" applyAlignment="1"/>
    <xf numFmtId="167" fontId="0" fillId="0" borderId="2" xfId="0" applyNumberFormat="1" applyBorder="1" applyAlignment="1"/>
    <xf numFmtId="168" fontId="0" fillId="0" borderId="19" xfId="0" applyNumberFormat="1" applyBorder="1" applyAlignment="1"/>
    <xf numFmtId="169" fontId="0" fillId="0" borderId="21" xfId="0" applyNumberFormat="1" applyBorder="1" applyAlignment="1"/>
    <xf numFmtId="169" fontId="0" fillId="0" borderId="24" xfId="0" applyNumberFormat="1" applyBorder="1" applyAlignment="1"/>
    <xf numFmtId="169" fontId="0" fillId="0" borderId="13" xfId="0" applyNumberFormat="1" applyBorder="1" applyAlignment="1"/>
    <xf numFmtId="169" fontId="0" fillId="0" borderId="20" xfId="0" applyNumberFormat="1" applyBorder="1" applyAlignment="1"/>
    <xf numFmtId="170" fontId="0" fillId="0" borderId="11" xfId="0" applyNumberFormat="1" applyBorder="1" applyAlignment="1"/>
    <xf numFmtId="170" fontId="0" fillId="0" borderId="0" xfId="0" applyNumberFormat="1" applyBorder="1" applyAlignment="1"/>
    <xf numFmtId="170" fontId="0" fillId="0" borderId="23" xfId="0" applyNumberFormat="1" applyBorder="1" applyAlignment="1"/>
    <xf numFmtId="170" fontId="0" fillId="0" borderId="19" xfId="0" applyNumberFormat="1" applyBorder="1" applyAlignment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4" fillId="0" borderId="0" xfId="0" applyFont="1"/>
    <xf numFmtId="169" fontId="0" fillId="4" borderId="20" xfId="0" applyNumberFormat="1" applyFill="1" applyBorder="1" applyAlignment="1"/>
    <xf numFmtId="0" fontId="6" fillId="0" borderId="0" xfId="0" applyFont="1"/>
    <xf numFmtId="0" fontId="7" fillId="0" borderId="0" xfId="0" applyFont="1"/>
    <xf numFmtId="167" fontId="8" fillId="0" borderId="14" xfId="0" applyNumberFormat="1" applyFont="1" applyBorder="1" applyAlignment="1"/>
    <xf numFmtId="170" fontId="8" fillId="0" borderId="0" xfId="0" applyNumberFormat="1" applyFont="1" applyBorder="1" applyAlignment="1"/>
    <xf numFmtId="169" fontId="8" fillId="0" borderId="21" xfId="0" applyNumberFormat="1" applyFont="1" applyBorder="1" applyAlignment="1"/>
    <xf numFmtId="169" fontId="9" fillId="0" borderId="21" xfId="0" applyNumberFormat="1" applyFont="1" applyBorder="1" applyAlignment="1"/>
    <xf numFmtId="167" fontId="9" fillId="0" borderId="14" xfId="0" applyNumberFormat="1" applyFont="1" applyBorder="1" applyAlignment="1"/>
    <xf numFmtId="167" fontId="0" fillId="0" borderId="0" xfId="0" applyNumberFormat="1"/>
    <xf numFmtId="169" fontId="0" fillId="0" borderId="13" xfId="0" applyNumberFormat="1" applyBorder="1"/>
    <xf numFmtId="0" fontId="0" fillId="0" borderId="21" xfId="0" applyBorder="1"/>
    <xf numFmtId="0" fontId="4" fillId="0" borderId="10" xfId="0" applyFont="1" applyBorder="1"/>
    <xf numFmtId="0" fontId="4" fillId="0" borderId="0" xfId="0" applyFont="1" applyBorder="1" applyAlignment="1">
      <alignment horizontal="left"/>
    </xf>
    <xf numFmtId="0" fontId="0" fillId="0" borderId="0" xfId="0" applyFont="1" applyFill="1" applyBorder="1"/>
    <xf numFmtId="44" fontId="3" fillId="0" borderId="2" xfId="2" applyFont="1" applyBorder="1"/>
    <xf numFmtId="0" fontId="8" fillId="0" borderId="0" xfId="0" applyFont="1"/>
    <xf numFmtId="0" fontId="8" fillId="0" borderId="0" xfId="0" quotePrefix="1" applyFont="1"/>
    <xf numFmtId="171" fontId="0" fillId="0" borderId="0" xfId="1" applyNumberFormat="1" applyFont="1"/>
    <xf numFmtId="171" fontId="9" fillId="0" borderId="0" xfId="1" applyNumberFormat="1" applyFont="1"/>
    <xf numFmtId="172" fontId="0" fillId="0" borderId="25" xfId="2" applyNumberFormat="1" applyFont="1" applyBorder="1"/>
    <xf numFmtId="171" fontId="4" fillId="0" borderId="0" xfId="1" applyNumberFormat="1" applyFont="1"/>
    <xf numFmtId="171" fontId="10" fillId="0" borderId="0" xfId="0" applyNumberFormat="1" applyFont="1" applyBorder="1"/>
    <xf numFmtId="172" fontId="0" fillId="0" borderId="0" xfId="0" applyNumberFormat="1"/>
    <xf numFmtId="171" fontId="9" fillId="0" borderId="0" xfId="0" applyNumberFormat="1" applyFont="1"/>
    <xf numFmtId="16" fontId="0" fillId="0" borderId="0" xfId="0" applyNumberFormat="1"/>
    <xf numFmtId="171" fontId="0" fillId="0" borderId="26" xfId="1" applyNumberFormat="1" applyFont="1" applyBorder="1"/>
    <xf numFmtId="173" fontId="0" fillId="0" borderId="26" xfId="2" applyNumberFormat="1" applyFont="1" applyBorder="1"/>
    <xf numFmtId="173" fontId="0" fillId="4" borderId="26" xfId="2" applyNumberFormat="1" applyFont="1" applyFill="1" applyBorder="1"/>
    <xf numFmtId="44" fontId="10" fillId="4" borderId="0" xfId="0" applyNumberFormat="1" applyFont="1" applyFill="1"/>
    <xf numFmtId="171" fontId="0" fillId="4" borderId="26" xfId="1" applyNumberFormat="1" applyFont="1" applyFill="1" applyBorder="1"/>
    <xf numFmtId="0" fontId="3" fillId="0" borderId="0" xfId="0" applyFont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8" xfId="0" quotePrefix="1" applyFont="1" applyFill="1" applyBorder="1" applyAlignment="1">
      <alignment horizontal="center"/>
    </xf>
    <xf numFmtId="167" fontId="3" fillId="2" borderId="18" xfId="0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0</xdr:row>
      <xdr:rowOff>19050</xdr:rowOff>
    </xdr:from>
    <xdr:to>
      <xdr:col>4</xdr:col>
      <xdr:colOff>361950</xdr:colOff>
      <xdr:row>2</xdr:row>
      <xdr:rowOff>38100</xdr:rowOff>
    </xdr:to>
    <xdr:grpSp>
      <xdr:nvGrpSpPr>
        <xdr:cNvPr id="13325" name="Group 1">
          <a:extLst>
            <a:ext uri="{FF2B5EF4-FFF2-40B4-BE49-F238E27FC236}">
              <a16:creationId xmlns:a16="http://schemas.microsoft.com/office/drawing/2014/main" id="{00000000-0008-0000-0100-00000D340000}"/>
            </a:ext>
          </a:extLst>
        </xdr:cNvPr>
        <xdr:cNvGrpSpPr>
          <a:grpSpLocks/>
        </xdr:cNvGrpSpPr>
      </xdr:nvGrpSpPr>
      <xdr:grpSpPr bwMode="auto">
        <a:xfrm>
          <a:off x="1381125" y="19050"/>
          <a:ext cx="1552575" cy="342900"/>
          <a:chOff x="136" y="10"/>
          <a:chExt cx="157" cy="36"/>
        </a:xfrm>
      </xdr:grpSpPr>
      <xdr:sp macro="" textlink="">
        <xdr:nvSpPr>
          <xdr:cNvPr id="13326" name="Rectangle 2">
            <a:extLst>
              <a:ext uri="{FF2B5EF4-FFF2-40B4-BE49-F238E27FC236}">
                <a16:creationId xmlns:a16="http://schemas.microsoft.com/office/drawing/2014/main" id="{00000000-0008-0000-0100-00000E340000}"/>
              </a:ext>
            </a:extLst>
          </xdr:cNvPr>
          <xdr:cNvSpPr>
            <a:spLocks noChangeArrowheads="1"/>
          </xdr:cNvSpPr>
        </xdr:nvSpPr>
        <xdr:spPr bwMode="auto">
          <a:xfrm>
            <a:off x="136" y="11"/>
            <a:ext cx="157" cy="35"/>
          </a:xfrm>
          <a:prstGeom prst="rect">
            <a:avLst/>
          </a:prstGeom>
          <a:solidFill>
            <a:srgbClr val="FFFFFF"/>
          </a:solidFill>
          <a:ln w="9525">
            <a:miter lim="800000"/>
            <a:headEnd/>
            <a:tailEnd/>
          </a:ln>
          <a:scene3d>
            <a:camera prst="legacyPerspectiveBottom"/>
            <a:lightRig rig="legacyFlat3" dir="t"/>
          </a:scene3d>
          <a:sp3d extrusionH="430200" prstMaterial="legacyMatte">
            <a:bevelT w="13500" h="13500" prst="angle"/>
            <a:bevelB w="13500" h="13500" prst="angle"/>
            <a:extrusionClr>
              <a:srgbClr val="FFFFFF"/>
            </a:extrusionClr>
          </a:sp3d>
        </xdr:spPr>
      </xdr:sp>
      <xdr:sp macro="" textlink="">
        <xdr:nvSpPr>
          <xdr:cNvPr id="13315" name="WordArt 3">
            <a:extLst>
              <a:ext uri="{FF2B5EF4-FFF2-40B4-BE49-F238E27FC236}">
                <a16:creationId xmlns:a16="http://schemas.microsoft.com/office/drawing/2014/main" id="{00000000-0008-0000-0100-000003340000}"/>
              </a:ext>
            </a:extLst>
          </xdr:cNvPr>
          <xdr:cNvSpPr>
            <a:spLocks noChangeArrowheads="1" noChangeShapeType="1"/>
          </xdr:cNvSpPr>
        </xdr:nvSpPr>
        <xdr:spPr bwMode="auto">
          <a:xfrm>
            <a:off x="145" y="22"/>
            <a:ext cx="136" cy="14"/>
          </a:xfrm>
          <a:prstGeom prst="rect">
            <a:avLst/>
          </a:prstGeom>
        </xdr:spPr>
        <xdr:txBody>
          <a:bodyPr vertOverflow="clip" wrap="none" lIns="18288" tIns="0" rIns="0" bIns="0" fromWordArt="1" anchor="t" uprigh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CA" sz="10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gradFill rotWithShape="0">
                  <a:gsLst>
                    <a:gs pos="0">
                      <a:srgbClr val="CBCBCB"/>
                    </a:gs>
                    <a:gs pos="13000">
                      <a:srgbClr val="5F5F5F"/>
                    </a:gs>
                    <a:gs pos="21001">
                      <a:srgbClr val="5F5F5F"/>
                    </a:gs>
                    <a:gs pos="63000">
                      <a:srgbClr val="FFFFFF"/>
                    </a:gs>
                    <a:gs pos="67000">
                      <a:srgbClr val="B2B2B2"/>
                    </a:gs>
                    <a:gs pos="69000">
                      <a:srgbClr val="292929"/>
                    </a:gs>
                    <a:gs pos="82001">
                      <a:srgbClr val="777777"/>
                    </a:gs>
                    <a:gs pos="100000">
                      <a:srgbClr val="EAEAEA"/>
                    </a:gs>
                  </a:gsLst>
                  <a:lin ang="5400000" scaled="1"/>
                </a:gradFill>
                <a:effectLst>
                  <a:outerShdw dist="35921" dir="2700000" algn="ctr" rotWithShape="0">
                    <a:srgbClr val="868686"/>
                  </a:outerShdw>
                </a:effectLst>
                <a:latin typeface="Arial Unicode MS"/>
                <a:ea typeface="Arial Unicode MS"/>
                <a:cs typeface="Arial Unicode MS"/>
              </a:rPr>
              <a:t>GIVEN DATA</a:t>
            </a:r>
          </a:p>
        </xdr:txBody>
      </xdr:sp>
      <xdr:sp macro="" textlink="">
        <xdr:nvSpPr>
          <xdr:cNvPr id="13328" name="Rectangle 4">
            <a:extLst>
              <a:ext uri="{FF2B5EF4-FFF2-40B4-BE49-F238E27FC236}">
                <a16:creationId xmlns:a16="http://schemas.microsoft.com/office/drawing/2014/main" id="{00000000-0008-0000-0100-000010340000}"/>
              </a:ext>
            </a:extLst>
          </xdr:cNvPr>
          <xdr:cNvSpPr>
            <a:spLocks noChangeArrowheads="1"/>
          </xdr:cNvSpPr>
        </xdr:nvSpPr>
        <xdr:spPr bwMode="auto">
          <a:xfrm>
            <a:off x="136" y="10"/>
            <a:ext cx="156" cy="36"/>
          </a:xfrm>
          <a:prstGeom prst="rect">
            <a:avLst/>
          </a:prstGeom>
          <a:noFill/>
          <a:ln w="9525">
            <a:solidFill>
              <a:srgbClr val="969696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9"/>
  <sheetViews>
    <sheetView showGridLines="0" workbookViewId="0"/>
  </sheetViews>
  <sheetFormatPr defaultColWidth="8.85546875" defaultRowHeight="12.75" x14ac:dyDescent="0.2"/>
  <cols>
    <col min="1" max="1" width="8.42578125" customWidth="1"/>
    <col min="2" max="2" width="17.28515625" bestFit="1" customWidth="1"/>
    <col min="3" max="3" width="5.42578125" bestFit="1" customWidth="1"/>
    <col min="4" max="4" width="7.42578125" bestFit="1" customWidth="1"/>
    <col min="5" max="5" width="6.140625" bestFit="1" customWidth="1"/>
    <col min="6" max="6" width="2.140625" bestFit="1" customWidth="1"/>
    <col min="7" max="7" width="8.7109375" bestFit="1" customWidth="1"/>
  </cols>
  <sheetData>
    <row r="1" spans="1:8" x14ac:dyDescent="0.2">
      <c r="A1" s="1"/>
    </row>
    <row r="4" spans="1:8" x14ac:dyDescent="0.2">
      <c r="A4" s="33" t="s">
        <v>0</v>
      </c>
      <c r="B4" s="34" t="s">
        <v>1</v>
      </c>
      <c r="C4" s="34">
        <v>600</v>
      </c>
      <c r="D4" s="34" t="s">
        <v>2</v>
      </c>
      <c r="E4" s="35">
        <v>105</v>
      </c>
      <c r="F4" s="36" t="s">
        <v>3</v>
      </c>
      <c r="G4" s="35">
        <f>C4*E4</f>
        <v>63000</v>
      </c>
      <c r="H4" s="37"/>
    </row>
    <row r="5" spans="1:8" x14ac:dyDescent="0.2">
      <c r="A5" s="33" t="s">
        <v>4</v>
      </c>
      <c r="B5" s="34" t="s">
        <v>5</v>
      </c>
      <c r="C5" s="34">
        <v>200</v>
      </c>
      <c r="D5" s="34" t="s">
        <v>2</v>
      </c>
      <c r="E5" s="35">
        <v>109</v>
      </c>
      <c r="F5" s="36" t="s">
        <v>3</v>
      </c>
      <c r="G5" s="35">
        <f>C5*E5</f>
        <v>21800</v>
      </c>
      <c r="H5" s="37"/>
    </row>
    <row r="6" spans="1:8" x14ac:dyDescent="0.2">
      <c r="A6" s="33" t="s">
        <v>6</v>
      </c>
      <c r="B6" s="34" t="s">
        <v>5</v>
      </c>
      <c r="C6" s="34">
        <v>345</v>
      </c>
      <c r="D6" s="34" t="s">
        <v>2</v>
      </c>
      <c r="E6" s="35">
        <v>112</v>
      </c>
      <c r="F6" s="36" t="s">
        <v>3</v>
      </c>
      <c r="G6" s="35">
        <f>C6*E6</f>
        <v>38640</v>
      </c>
      <c r="H6" s="37"/>
    </row>
    <row r="7" spans="1:8" x14ac:dyDescent="0.2">
      <c r="A7" s="17"/>
      <c r="B7" s="17"/>
      <c r="C7" s="17"/>
      <c r="D7" s="17"/>
      <c r="E7" s="17"/>
      <c r="F7" s="17"/>
      <c r="G7" s="17"/>
      <c r="H7" s="17"/>
    </row>
    <row r="8" spans="1:8" x14ac:dyDescent="0.2">
      <c r="A8" s="38" t="s">
        <v>7</v>
      </c>
      <c r="B8" s="39"/>
      <c r="C8" s="40">
        <v>165</v>
      </c>
      <c r="D8" s="39"/>
      <c r="E8" s="39"/>
      <c r="F8" s="39"/>
      <c r="G8" s="39"/>
      <c r="H8" s="41"/>
    </row>
    <row r="9" spans="1:8" x14ac:dyDescent="0.2">
      <c r="A9" s="42"/>
      <c r="B9" s="43"/>
      <c r="C9" s="44"/>
      <c r="D9" s="43"/>
      <c r="E9" s="43"/>
      <c r="F9" s="43"/>
      <c r="G9" s="43"/>
      <c r="H9" s="45"/>
    </row>
    <row r="10" spans="1:8" x14ac:dyDescent="0.2">
      <c r="A10" s="42" t="s">
        <v>8</v>
      </c>
      <c r="B10" s="43"/>
      <c r="C10" s="44"/>
      <c r="D10" s="43"/>
      <c r="E10" s="43"/>
      <c r="F10" s="43"/>
      <c r="G10" s="43"/>
      <c r="H10" s="45"/>
    </row>
    <row r="11" spans="1:8" x14ac:dyDescent="0.2">
      <c r="A11" s="33" t="s">
        <v>9</v>
      </c>
      <c r="B11" s="34"/>
      <c r="C11" s="34">
        <v>300</v>
      </c>
      <c r="D11" s="34" t="s">
        <v>10</v>
      </c>
      <c r="E11" s="34"/>
      <c r="F11" s="34"/>
      <c r="G11" s="34"/>
      <c r="H11" s="37"/>
    </row>
    <row r="12" spans="1:8" x14ac:dyDescent="0.2">
      <c r="A12" s="46" t="s">
        <v>11</v>
      </c>
      <c r="B12" s="47"/>
      <c r="C12" s="47">
        <v>335</v>
      </c>
      <c r="D12" s="47" t="s">
        <v>10</v>
      </c>
      <c r="E12" s="47"/>
      <c r="F12" s="47"/>
      <c r="G12" s="47"/>
      <c r="H12" s="48"/>
    </row>
    <row r="14" spans="1:8" x14ac:dyDescent="0.2">
      <c r="A14" t="s">
        <v>12</v>
      </c>
    </row>
    <row r="15" spans="1:8" x14ac:dyDescent="0.2">
      <c r="A15" s="38" t="s">
        <v>8</v>
      </c>
      <c r="B15" s="39"/>
      <c r="C15" s="40"/>
      <c r="D15" s="39"/>
      <c r="E15" s="39"/>
      <c r="F15" s="39"/>
      <c r="G15" s="39"/>
      <c r="H15" s="41"/>
    </row>
    <row r="16" spans="1:8" x14ac:dyDescent="0.2">
      <c r="A16" s="49" t="s">
        <v>9</v>
      </c>
      <c r="B16" s="43"/>
      <c r="C16" s="43">
        <v>175</v>
      </c>
      <c r="D16" s="43" t="s">
        <v>13</v>
      </c>
      <c r="E16" s="43"/>
      <c r="F16" s="43"/>
      <c r="G16" s="43"/>
      <c r="H16" s="45"/>
    </row>
    <row r="17" spans="1:8" x14ac:dyDescent="0.2">
      <c r="A17" s="46"/>
      <c r="B17" s="47"/>
      <c r="C17" s="47">
        <v>125</v>
      </c>
      <c r="D17" s="47" t="s">
        <v>14</v>
      </c>
      <c r="E17" s="47"/>
      <c r="F17" s="47"/>
      <c r="G17" s="47"/>
      <c r="H17" s="48"/>
    </row>
    <row r="18" spans="1:8" x14ac:dyDescent="0.2">
      <c r="A18" s="50" t="s">
        <v>11</v>
      </c>
      <c r="B18" s="39"/>
      <c r="C18" s="39">
        <v>15</v>
      </c>
      <c r="D18" s="39" t="s">
        <v>13</v>
      </c>
      <c r="E18" s="39"/>
      <c r="F18" s="39"/>
      <c r="G18" s="39"/>
      <c r="H18" s="41"/>
    </row>
    <row r="19" spans="1:8" x14ac:dyDescent="0.2">
      <c r="A19" s="46"/>
      <c r="B19" s="47"/>
      <c r="C19" s="47">
        <v>320</v>
      </c>
      <c r="D19" s="47" t="s">
        <v>15</v>
      </c>
      <c r="E19" s="47"/>
      <c r="F19" s="47"/>
      <c r="G19" s="47"/>
      <c r="H19" s="48"/>
    </row>
  </sheetData>
  <phoneticPr fontId="1" type="noConversion"/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5"/>
  <sheetViews>
    <sheetView showGridLines="0" tabSelected="1" topLeftCell="A7" zoomScale="160" zoomScaleNormal="160" workbookViewId="0">
      <selection activeCell="H25" sqref="H25:J25"/>
    </sheetView>
  </sheetViews>
  <sheetFormatPr defaultColWidth="8.85546875" defaultRowHeight="12.75" x14ac:dyDescent="0.2"/>
  <cols>
    <col min="1" max="1" width="7.42578125" customWidth="1"/>
    <col min="2" max="2" width="8" customWidth="1"/>
    <col min="3" max="3" width="11.42578125" customWidth="1"/>
    <col min="4" max="4" width="13.85546875" customWidth="1"/>
    <col min="5" max="5" width="7.5703125" customWidth="1"/>
    <col min="6" max="7" width="11.42578125" customWidth="1"/>
    <col min="9" max="10" width="11.42578125" customWidth="1"/>
  </cols>
  <sheetData>
    <row r="1" spans="1:10" x14ac:dyDescent="0.2">
      <c r="A1" s="1"/>
    </row>
    <row r="3" spans="1:10" ht="15.75" x14ac:dyDescent="0.25">
      <c r="A3" s="69"/>
    </row>
    <row r="5" spans="1:10" ht="15.75" x14ac:dyDescent="0.25">
      <c r="A5" s="69" t="s">
        <v>16</v>
      </c>
    </row>
    <row r="6" spans="1:10" x14ac:dyDescent="0.2">
      <c r="A6" s="1" t="s">
        <v>17</v>
      </c>
    </row>
    <row r="7" spans="1:10" x14ac:dyDescent="0.2">
      <c r="A7" s="5"/>
      <c r="B7" s="99" t="s">
        <v>18</v>
      </c>
      <c r="C7" s="100"/>
      <c r="D7" s="101"/>
      <c r="E7" s="102" t="s">
        <v>19</v>
      </c>
      <c r="F7" s="102"/>
      <c r="G7" s="102"/>
      <c r="H7" s="99" t="s">
        <v>20</v>
      </c>
      <c r="I7" s="100"/>
      <c r="J7" s="101"/>
    </row>
    <row r="8" spans="1:10" ht="25.5" x14ac:dyDescent="0.2">
      <c r="A8" s="5" t="s">
        <v>21</v>
      </c>
      <c r="B8" s="12" t="s">
        <v>22</v>
      </c>
      <c r="C8" s="13" t="s">
        <v>23</v>
      </c>
      <c r="D8" s="14" t="s">
        <v>24</v>
      </c>
      <c r="E8" s="12" t="s">
        <v>22</v>
      </c>
      <c r="F8" s="13" t="s">
        <v>23</v>
      </c>
      <c r="G8" s="14" t="s">
        <v>25</v>
      </c>
      <c r="H8" s="12" t="s">
        <v>22</v>
      </c>
      <c r="I8" s="13" t="s">
        <v>23</v>
      </c>
      <c r="J8" s="14" t="s">
        <v>24</v>
      </c>
    </row>
    <row r="9" spans="1:10" x14ac:dyDescent="0.2">
      <c r="A9" s="6" t="str">
        <f>GivenData!A4</f>
        <v>Jan. 1</v>
      </c>
      <c r="B9" s="53" t="s">
        <v>26</v>
      </c>
      <c r="C9" s="60"/>
      <c r="D9" s="58"/>
      <c r="E9" s="53"/>
      <c r="F9" s="60"/>
      <c r="G9" s="58"/>
      <c r="H9" s="53"/>
      <c r="I9" s="60"/>
      <c r="J9" s="58"/>
    </row>
    <row r="10" spans="1:10" x14ac:dyDescent="0.2">
      <c r="A10" s="16"/>
      <c r="B10" s="51">
        <f>GivenData!C4</f>
        <v>600</v>
      </c>
      <c r="C10" s="61">
        <f>GivenData!E4</f>
        <v>105</v>
      </c>
      <c r="D10" s="56">
        <f>B10*C10</f>
        <v>63000</v>
      </c>
      <c r="E10" s="51"/>
      <c r="F10" s="61"/>
      <c r="G10" s="56"/>
      <c r="H10" s="51">
        <f>+B10</f>
        <v>600</v>
      </c>
      <c r="I10" s="61">
        <f>+C10</f>
        <v>105</v>
      </c>
      <c r="J10" s="56">
        <f>+I10*H10</f>
        <v>63000</v>
      </c>
    </row>
    <row r="11" spans="1:10" x14ac:dyDescent="0.2">
      <c r="A11" s="4"/>
      <c r="B11" s="52"/>
      <c r="C11" s="62"/>
      <c r="D11" s="57"/>
      <c r="E11" s="52"/>
      <c r="F11" s="62"/>
      <c r="G11" s="57"/>
      <c r="H11" s="52"/>
      <c r="I11" s="62"/>
      <c r="J11" s="57"/>
    </row>
    <row r="12" spans="1:10" x14ac:dyDescent="0.2">
      <c r="A12" s="8" t="str">
        <f>GivenData!A5</f>
        <v>Feb. 13</v>
      </c>
      <c r="B12" s="64"/>
      <c r="C12" s="65"/>
      <c r="D12" s="66"/>
      <c r="E12" s="53"/>
      <c r="F12" s="60"/>
      <c r="G12" s="58"/>
      <c r="H12" s="53">
        <f>+H10</f>
        <v>600</v>
      </c>
      <c r="I12" s="60">
        <f>+I10</f>
        <v>105</v>
      </c>
      <c r="J12" s="58">
        <f>+J10</f>
        <v>63000</v>
      </c>
    </row>
    <row r="13" spans="1:10" x14ac:dyDescent="0.2">
      <c r="A13" s="7"/>
      <c r="B13" s="51">
        <v>200</v>
      </c>
      <c r="C13" s="61">
        <v>109</v>
      </c>
      <c r="D13" s="56">
        <f>+C13*B13</f>
        <v>21800</v>
      </c>
      <c r="E13" s="51"/>
      <c r="F13" s="61"/>
      <c r="G13" s="56"/>
      <c r="H13" s="51">
        <f>+B13</f>
        <v>200</v>
      </c>
      <c r="I13" s="61">
        <f>+C13</f>
        <v>109</v>
      </c>
      <c r="J13" s="56">
        <f>+D13</f>
        <v>21800</v>
      </c>
    </row>
    <row r="14" spans="1:10" x14ac:dyDescent="0.2">
      <c r="A14" s="4"/>
      <c r="B14" s="52"/>
      <c r="C14" s="62"/>
      <c r="D14" s="57"/>
      <c r="E14" s="52"/>
      <c r="F14" s="62"/>
      <c r="G14" s="57"/>
      <c r="H14" s="52"/>
      <c r="I14" s="62"/>
      <c r="J14" s="57"/>
    </row>
    <row r="15" spans="1:10" x14ac:dyDescent="0.2">
      <c r="A15" s="8" t="str">
        <f>GivenData!A11</f>
        <v>Feb. 15</v>
      </c>
      <c r="B15" s="53"/>
      <c r="C15" s="60"/>
      <c r="D15" s="58"/>
      <c r="E15" s="53">
        <v>300</v>
      </c>
      <c r="F15" s="60">
        <v>105</v>
      </c>
      <c r="G15" s="58">
        <f>+E15*F15</f>
        <v>31500</v>
      </c>
      <c r="H15" s="53">
        <f>+H12-E15</f>
        <v>300</v>
      </c>
      <c r="I15" s="60">
        <f>+I12</f>
        <v>105</v>
      </c>
      <c r="J15" s="58">
        <f>+H15*I15</f>
        <v>31500</v>
      </c>
    </row>
    <row r="16" spans="1:10" x14ac:dyDescent="0.2">
      <c r="A16" s="7"/>
      <c r="B16" s="51"/>
      <c r="C16" s="61"/>
      <c r="D16" s="56"/>
      <c r="E16" s="51"/>
      <c r="F16" s="61"/>
      <c r="G16" s="56"/>
      <c r="H16" s="51">
        <f>+H13</f>
        <v>200</v>
      </c>
      <c r="I16" s="61">
        <f>+I13</f>
        <v>109</v>
      </c>
      <c r="J16" s="56">
        <f>+I16*H16</f>
        <v>21800</v>
      </c>
    </row>
    <row r="17" spans="1:10" x14ac:dyDescent="0.2">
      <c r="A17" s="4"/>
      <c r="B17" s="52"/>
      <c r="C17" s="62"/>
      <c r="D17" s="57"/>
      <c r="E17" s="52"/>
      <c r="F17" s="62"/>
      <c r="G17" s="57"/>
      <c r="H17" s="52"/>
      <c r="I17" s="62"/>
      <c r="J17" s="57"/>
    </row>
    <row r="18" spans="1:10" x14ac:dyDescent="0.2">
      <c r="A18" s="8" t="str">
        <f>GivenData!A6</f>
        <v>Aug. 5</v>
      </c>
      <c r="B18" s="53"/>
      <c r="C18" s="60"/>
      <c r="D18" s="58"/>
      <c r="E18" s="53"/>
      <c r="F18" s="60"/>
      <c r="G18" s="58"/>
      <c r="H18" s="53">
        <f t="shared" ref="H18:J19" si="0">+H15</f>
        <v>300</v>
      </c>
      <c r="I18" s="60">
        <f t="shared" si="0"/>
        <v>105</v>
      </c>
      <c r="J18" s="58">
        <f t="shared" si="0"/>
        <v>31500</v>
      </c>
    </row>
    <row r="19" spans="1:10" x14ac:dyDescent="0.2">
      <c r="A19" s="7"/>
      <c r="B19" s="51"/>
      <c r="C19" s="61"/>
      <c r="D19" s="56"/>
      <c r="E19" s="51"/>
      <c r="F19" s="61"/>
      <c r="G19" s="56"/>
      <c r="H19" s="51">
        <f t="shared" si="0"/>
        <v>200</v>
      </c>
      <c r="I19" s="61">
        <f t="shared" si="0"/>
        <v>109</v>
      </c>
      <c r="J19" s="56">
        <f t="shared" si="0"/>
        <v>21800</v>
      </c>
    </row>
    <row r="20" spans="1:10" x14ac:dyDescent="0.2">
      <c r="A20" s="4"/>
      <c r="B20" s="52">
        <v>345</v>
      </c>
      <c r="C20" s="62">
        <v>112</v>
      </c>
      <c r="D20" s="57">
        <f>+B20*C20</f>
        <v>38640</v>
      </c>
      <c r="E20" s="52"/>
      <c r="F20" s="62"/>
      <c r="G20" s="57"/>
      <c r="H20" s="52">
        <f>+B20</f>
        <v>345</v>
      </c>
      <c r="I20" s="62">
        <f>+C20</f>
        <v>112</v>
      </c>
      <c r="J20" s="57">
        <f>+H20*I20</f>
        <v>38640</v>
      </c>
    </row>
    <row r="21" spans="1:10" x14ac:dyDescent="0.2">
      <c r="A21" s="8" t="str">
        <f>GivenData!A12</f>
        <v>Aug. 10</v>
      </c>
      <c r="B21" s="53"/>
      <c r="C21" s="60"/>
      <c r="D21" s="58"/>
      <c r="E21" s="53">
        <v>300</v>
      </c>
      <c r="F21" s="60">
        <f>+I18</f>
        <v>105</v>
      </c>
      <c r="G21" s="58">
        <f>+E21*F21</f>
        <v>31500</v>
      </c>
      <c r="H21" s="53"/>
      <c r="I21" s="60"/>
      <c r="J21" s="58"/>
    </row>
    <row r="22" spans="1:10" x14ac:dyDescent="0.2">
      <c r="A22" s="7"/>
      <c r="B22" s="51"/>
      <c r="C22" s="61"/>
      <c r="D22" s="56"/>
      <c r="E22" s="51">
        <v>35</v>
      </c>
      <c r="F22" s="61">
        <f>+I19</f>
        <v>109</v>
      </c>
      <c r="G22" s="56">
        <f>+E22*F22</f>
        <v>3815</v>
      </c>
      <c r="H22" s="51">
        <f>+H19-E22</f>
        <v>165</v>
      </c>
      <c r="I22" s="61">
        <f>+I19</f>
        <v>109</v>
      </c>
      <c r="J22" s="56">
        <f>+H22*I22</f>
        <v>17985</v>
      </c>
    </row>
    <row r="23" spans="1:10" x14ac:dyDescent="0.2">
      <c r="A23" s="2"/>
      <c r="B23" s="54"/>
      <c r="C23" s="63"/>
      <c r="D23" s="59"/>
      <c r="E23" s="54"/>
      <c r="F23" s="63"/>
      <c r="G23" s="59"/>
      <c r="H23" s="54">
        <f>+H20</f>
        <v>345</v>
      </c>
      <c r="I23" s="63">
        <f>+I20</f>
        <v>112</v>
      </c>
      <c r="J23" s="59">
        <f>+H23*I23</f>
        <v>38640</v>
      </c>
    </row>
    <row r="24" spans="1:10" x14ac:dyDescent="0.2">
      <c r="A24" s="2" t="s">
        <v>27</v>
      </c>
      <c r="B24" s="54">
        <f>SUM(B10:B23)</f>
        <v>1145</v>
      </c>
      <c r="C24" s="55"/>
      <c r="D24" s="59">
        <f>SUM(D10:D23)</f>
        <v>123440</v>
      </c>
      <c r="E24" s="54">
        <f>SUM(E15:E23)</f>
        <v>635</v>
      </c>
      <c r="F24" s="55"/>
      <c r="G24" s="68">
        <f>SUM(G13:G23)</f>
        <v>66815</v>
      </c>
      <c r="H24" s="54">
        <f>+H22+H23</f>
        <v>510</v>
      </c>
      <c r="I24" s="55"/>
      <c r="J24" s="68">
        <f>SUM(J22:J23)</f>
        <v>56625</v>
      </c>
    </row>
    <row r="25" spans="1:10" ht="13.5" thickBot="1" x14ac:dyDescent="0.25">
      <c r="A25" s="15"/>
      <c r="B25" s="103"/>
      <c r="C25" s="103"/>
      <c r="D25" s="103"/>
      <c r="E25" s="104" t="s">
        <v>25</v>
      </c>
      <c r="F25" s="103"/>
      <c r="G25" s="103"/>
      <c r="H25" s="103" t="s">
        <v>28</v>
      </c>
      <c r="I25" s="103"/>
      <c r="J25" s="103"/>
    </row>
  </sheetData>
  <mergeCells count="6">
    <mergeCell ref="B7:D7"/>
    <mergeCell ref="E7:G7"/>
    <mergeCell ref="H7:J7"/>
    <mergeCell ref="B25:D25"/>
    <mergeCell ref="E25:G25"/>
    <mergeCell ref="H25:J25"/>
  </mergeCells>
  <phoneticPr fontId="1" type="noConversion"/>
  <printOptions horizontalCentered="1"/>
  <pageMargins left="0.25" right="0.25" top="0.75" bottom="0.75" header="0.3" footer="0.3"/>
  <pageSetup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5"/>
  <sheetViews>
    <sheetView showGridLines="0" topLeftCell="A8" zoomScale="170" zoomScaleNormal="170" workbookViewId="0">
      <selection activeCell="H26" sqref="H26"/>
    </sheetView>
  </sheetViews>
  <sheetFormatPr defaultColWidth="8.85546875" defaultRowHeight="12.75" x14ac:dyDescent="0.2"/>
  <cols>
    <col min="1" max="1" width="7.42578125" customWidth="1"/>
    <col min="2" max="2" width="8" customWidth="1"/>
    <col min="3" max="3" width="11.42578125" customWidth="1"/>
    <col min="4" max="4" width="12.28515625" bestFit="1" customWidth="1"/>
    <col min="5" max="5" width="8" customWidth="1"/>
    <col min="6" max="6" width="11.42578125" customWidth="1"/>
    <col min="7" max="7" width="12.42578125" customWidth="1"/>
    <col min="9" max="9" width="11.42578125" customWidth="1"/>
    <col min="10" max="10" width="13.42578125" customWidth="1"/>
  </cols>
  <sheetData>
    <row r="1" spans="1:10" x14ac:dyDescent="0.2">
      <c r="A1" s="1"/>
    </row>
    <row r="2" spans="1:10" x14ac:dyDescent="0.2">
      <c r="A2" s="1"/>
    </row>
    <row r="5" spans="1:10" ht="15.75" x14ac:dyDescent="0.25">
      <c r="A5" s="69" t="s">
        <v>29</v>
      </c>
    </row>
    <row r="6" spans="1:10" x14ac:dyDescent="0.2">
      <c r="A6" s="1" t="s">
        <v>30</v>
      </c>
    </row>
    <row r="7" spans="1:10" x14ac:dyDescent="0.2">
      <c r="A7" s="5"/>
      <c r="B7" s="99" t="s">
        <v>18</v>
      </c>
      <c r="C7" s="100"/>
      <c r="D7" s="101"/>
      <c r="E7" s="102" t="s">
        <v>19</v>
      </c>
      <c r="F7" s="102"/>
      <c r="G7" s="102"/>
      <c r="H7" s="99" t="s">
        <v>20</v>
      </c>
      <c r="I7" s="100"/>
      <c r="J7" s="101"/>
    </row>
    <row r="8" spans="1:10" ht="25.5" x14ac:dyDescent="0.2">
      <c r="A8" s="5" t="s">
        <v>21</v>
      </c>
      <c r="B8" s="12" t="s">
        <v>22</v>
      </c>
      <c r="C8" s="13" t="s">
        <v>23</v>
      </c>
      <c r="D8" s="14" t="s">
        <v>24</v>
      </c>
      <c r="E8" s="12" t="s">
        <v>22</v>
      </c>
      <c r="F8" s="13" t="s">
        <v>23</v>
      </c>
      <c r="G8" s="14" t="s">
        <v>25</v>
      </c>
      <c r="H8" s="12" t="s">
        <v>22</v>
      </c>
      <c r="I8" s="13" t="s">
        <v>23</v>
      </c>
      <c r="J8" s="14" t="s">
        <v>24</v>
      </c>
    </row>
    <row r="9" spans="1:10" x14ac:dyDescent="0.2">
      <c r="A9" s="6" t="str">
        <f>GivenData!A4</f>
        <v>Jan. 1</v>
      </c>
      <c r="B9" s="53" t="s">
        <v>26</v>
      </c>
      <c r="C9" s="60"/>
      <c r="D9" s="58"/>
      <c r="E9" s="53"/>
      <c r="F9" s="60"/>
      <c r="G9" s="58"/>
      <c r="H9" s="53"/>
      <c r="I9" s="60"/>
      <c r="J9" s="58"/>
    </row>
    <row r="10" spans="1:10" x14ac:dyDescent="0.2">
      <c r="A10" s="7"/>
      <c r="B10" s="51">
        <f>GivenData!C4</f>
        <v>600</v>
      </c>
      <c r="C10" s="61">
        <f>GivenData!E4</f>
        <v>105</v>
      </c>
      <c r="D10" s="56">
        <f>B10*C10</f>
        <v>63000</v>
      </c>
      <c r="E10" s="51"/>
      <c r="F10" s="61"/>
      <c r="G10" s="56"/>
      <c r="H10" s="51">
        <f>+B10</f>
        <v>600</v>
      </c>
      <c r="I10" s="61">
        <f>+J10/H10</f>
        <v>105</v>
      </c>
      <c r="J10" s="56">
        <f>+D10</f>
        <v>63000</v>
      </c>
    </row>
    <row r="11" spans="1:10" x14ac:dyDescent="0.2">
      <c r="A11" s="4"/>
      <c r="B11" s="52"/>
      <c r="C11" s="62"/>
      <c r="D11" s="57"/>
      <c r="E11" s="52"/>
      <c r="F11" s="62"/>
      <c r="G11" s="57"/>
      <c r="H11" s="52"/>
      <c r="I11" s="62"/>
      <c r="J11" s="57"/>
    </row>
    <row r="12" spans="1:10" x14ac:dyDescent="0.2">
      <c r="A12" s="8" t="str">
        <f>GivenData!A5</f>
        <v>Feb. 13</v>
      </c>
      <c r="B12" s="64"/>
      <c r="C12" s="65"/>
      <c r="D12" s="66"/>
      <c r="E12" s="53"/>
      <c r="F12" s="60"/>
      <c r="G12" s="58"/>
      <c r="H12" s="53">
        <f>+H10</f>
        <v>600</v>
      </c>
      <c r="I12" s="60"/>
      <c r="J12" s="58">
        <f>+J10</f>
        <v>63000</v>
      </c>
    </row>
    <row r="13" spans="1:10" x14ac:dyDescent="0.2">
      <c r="A13" s="7"/>
      <c r="B13" s="51">
        <v>200</v>
      </c>
      <c r="C13" s="61">
        <v>109</v>
      </c>
      <c r="D13" s="56">
        <f>+C13*B13</f>
        <v>21800</v>
      </c>
      <c r="E13" s="51"/>
      <c r="F13" s="61"/>
      <c r="G13" s="56"/>
      <c r="H13" s="71">
        <f>+B13</f>
        <v>200</v>
      </c>
      <c r="I13" s="72"/>
      <c r="J13" s="73">
        <f>+D13</f>
        <v>21800</v>
      </c>
    </row>
    <row r="14" spans="1:10" x14ac:dyDescent="0.2">
      <c r="A14" s="4"/>
      <c r="B14" s="52"/>
      <c r="C14" s="62"/>
      <c r="D14" s="57"/>
      <c r="E14" s="52"/>
      <c r="F14" s="62"/>
      <c r="G14" s="57"/>
      <c r="H14" s="52">
        <f>SUM(H12:H13)</f>
        <v>800</v>
      </c>
      <c r="I14" s="62">
        <f>+J14/H14</f>
        <v>106</v>
      </c>
      <c r="J14" s="57">
        <f>SUM(J12:J13)</f>
        <v>84800</v>
      </c>
    </row>
    <row r="15" spans="1:10" x14ac:dyDescent="0.2">
      <c r="A15" s="8" t="str">
        <f>GivenData!A11</f>
        <v>Feb. 15</v>
      </c>
      <c r="B15" s="53"/>
      <c r="C15" s="60"/>
      <c r="D15" s="58"/>
      <c r="G15" s="66"/>
      <c r="H15" s="76">
        <f>+H14</f>
        <v>800</v>
      </c>
      <c r="J15" s="77">
        <f>+J14</f>
        <v>84800</v>
      </c>
    </row>
    <row r="16" spans="1:10" x14ac:dyDescent="0.2">
      <c r="A16" s="7"/>
      <c r="B16" s="51"/>
      <c r="C16" s="61"/>
      <c r="D16" s="56"/>
      <c r="E16" s="51">
        <v>300</v>
      </c>
      <c r="F16" s="61">
        <f>+I14</f>
        <v>106</v>
      </c>
      <c r="G16" s="56">
        <f>+E16*F16</f>
        <v>31800</v>
      </c>
      <c r="H16" s="71">
        <f>-1*E16</f>
        <v>-300</v>
      </c>
      <c r="I16" s="72"/>
      <c r="J16" s="73">
        <f>-1*G16</f>
        <v>-31800</v>
      </c>
    </row>
    <row r="17" spans="1:10" x14ac:dyDescent="0.2">
      <c r="A17" s="4"/>
      <c r="B17" s="52"/>
      <c r="C17" s="62"/>
      <c r="D17" s="57"/>
      <c r="E17" s="52"/>
      <c r="F17" s="62"/>
      <c r="G17" s="57"/>
      <c r="H17" s="52">
        <f>SUM(H15:H16)</f>
        <v>500</v>
      </c>
      <c r="I17" s="62">
        <f>+J17/H17</f>
        <v>106</v>
      </c>
      <c r="J17" s="57">
        <f>SUM(J15:J16)</f>
        <v>53000</v>
      </c>
    </row>
    <row r="18" spans="1:10" x14ac:dyDescent="0.2">
      <c r="A18" s="8" t="str">
        <f>GivenData!A6</f>
        <v>Aug. 5</v>
      </c>
      <c r="B18" s="53"/>
      <c r="C18" s="60"/>
      <c r="D18" s="58"/>
      <c r="E18" s="53"/>
      <c r="F18" s="60"/>
      <c r="G18" s="58"/>
      <c r="H18" s="53">
        <f>+H17</f>
        <v>500</v>
      </c>
      <c r="I18" s="60"/>
      <c r="J18" s="58">
        <f>+J17</f>
        <v>53000</v>
      </c>
    </row>
    <row r="19" spans="1:10" ht="15" x14ac:dyDescent="0.35">
      <c r="A19" s="7"/>
      <c r="B19" s="51"/>
      <c r="C19" s="61"/>
      <c r="D19" s="56"/>
      <c r="E19" s="51"/>
      <c r="F19" s="61"/>
      <c r="G19" s="56"/>
      <c r="H19" s="75">
        <f>+B20</f>
        <v>345</v>
      </c>
      <c r="I19" s="61"/>
      <c r="J19" s="74">
        <f>+D20</f>
        <v>38640</v>
      </c>
    </row>
    <row r="20" spans="1:10" x14ac:dyDescent="0.2">
      <c r="A20" s="4"/>
      <c r="B20" s="52">
        <v>345</v>
      </c>
      <c r="C20" s="62">
        <v>112</v>
      </c>
      <c r="D20" s="57">
        <f>+B20*C20</f>
        <v>38640</v>
      </c>
      <c r="E20" s="52"/>
      <c r="F20" s="62"/>
      <c r="G20" s="57"/>
      <c r="H20" s="52">
        <f>SUM(H18:H19)</f>
        <v>845</v>
      </c>
      <c r="I20" s="62">
        <f>+J20/H20</f>
        <v>108.44970414201184</v>
      </c>
      <c r="J20" s="57">
        <f>SUM(J18:J19)</f>
        <v>91640</v>
      </c>
    </row>
    <row r="21" spans="1:10" x14ac:dyDescent="0.2">
      <c r="A21" s="8" t="str">
        <f>GivenData!A12</f>
        <v>Aug. 10</v>
      </c>
      <c r="B21" s="53"/>
      <c r="C21" s="60"/>
      <c r="D21" s="58"/>
      <c r="H21" s="53">
        <f>+H20</f>
        <v>845</v>
      </c>
      <c r="I21" s="60"/>
      <c r="J21" s="58">
        <f>+J20</f>
        <v>91640</v>
      </c>
    </row>
    <row r="22" spans="1:10" ht="15" x14ac:dyDescent="0.35">
      <c r="A22" s="7"/>
      <c r="B22" s="51"/>
      <c r="C22" s="61"/>
      <c r="D22" s="56"/>
      <c r="E22" s="51">
        <v>335</v>
      </c>
      <c r="F22" s="61">
        <f>+I20</f>
        <v>108.44970414201184</v>
      </c>
      <c r="G22" s="56">
        <f>+E22*F22</f>
        <v>36330.650887573967</v>
      </c>
      <c r="H22" s="75">
        <f>-1*E22</f>
        <v>-335</v>
      </c>
      <c r="I22" s="61"/>
      <c r="J22" s="74">
        <f>-1*G22</f>
        <v>-36330.650887573967</v>
      </c>
    </row>
    <row r="23" spans="1:10" x14ac:dyDescent="0.2">
      <c r="A23" s="2"/>
      <c r="B23" s="54"/>
      <c r="C23" s="63"/>
      <c r="D23" s="59"/>
      <c r="E23" s="54"/>
      <c r="F23" s="63"/>
      <c r="G23" s="59"/>
      <c r="H23" s="54">
        <f>SUM(H21:H22)</f>
        <v>510</v>
      </c>
      <c r="I23" s="63">
        <f>+J23/H23</f>
        <v>108.44970414201183</v>
      </c>
      <c r="J23" s="68">
        <f>SUM(J21:J22)</f>
        <v>55309.349112426033</v>
      </c>
    </row>
    <row r="24" spans="1:10" x14ac:dyDescent="0.2">
      <c r="A24" s="2" t="s">
        <v>27</v>
      </c>
      <c r="B24" s="54"/>
      <c r="C24" s="55"/>
      <c r="D24" s="59"/>
      <c r="E24" s="54"/>
      <c r="F24" s="55"/>
      <c r="G24" s="68">
        <f>SUM(G15:G23)</f>
        <v>68130.650887573967</v>
      </c>
      <c r="H24" s="54"/>
      <c r="I24" s="55"/>
      <c r="J24" s="59"/>
    </row>
    <row r="25" spans="1:10" ht="13.5" thickBot="1" x14ac:dyDescent="0.25">
      <c r="A25" s="15"/>
      <c r="B25" s="103"/>
      <c r="C25" s="103"/>
      <c r="D25" s="103"/>
      <c r="E25" s="104" t="s">
        <v>25</v>
      </c>
      <c r="F25" s="103"/>
      <c r="G25" s="103"/>
      <c r="H25" s="103" t="s">
        <v>28</v>
      </c>
      <c r="I25" s="103"/>
      <c r="J25" s="103"/>
    </row>
  </sheetData>
  <mergeCells count="6">
    <mergeCell ref="B7:D7"/>
    <mergeCell ref="E7:G7"/>
    <mergeCell ref="H7:J7"/>
    <mergeCell ref="B25:D25"/>
    <mergeCell ref="E25:G25"/>
    <mergeCell ref="H25:J25"/>
  </mergeCells>
  <phoneticPr fontId="1" type="noConversion"/>
  <printOptions horizontalCentered="1"/>
  <pageMargins left="0.25" right="0.25" top="0.75" bottom="0.75" header="0.3" footer="0.3"/>
  <pageSetup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5"/>
  <sheetViews>
    <sheetView showGridLines="0" topLeftCell="A7" zoomScale="160" zoomScaleNormal="160" workbookViewId="0">
      <selection activeCell="K26" sqref="K26"/>
    </sheetView>
  </sheetViews>
  <sheetFormatPr defaultColWidth="8.85546875" defaultRowHeight="12.75" x14ac:dyDescent="0.2"/>
  <cols>
    <col min="1" max="1" width="7.42578125" customWidth="1"/>
    <col min="2" max="2" width="6.7109375" customWidth="1"/>
    <col min="3" max="3" width="10.85546875" customWidth="1"/>
    <col min="4" max="4" width="12.28515625" bestFit="1" customWidth="1"/>
    <col min="5" max="5" width="5.85546875" customWidth="1"/>
    <col min="6" max="6" width="11.140625" customWidth="1"/>
    <col min="7" max="7" width="11.42578125" customWidth="1"/>
    <col min="9" max="10" width="11.42578125" customWidth="1"/>
  </cols>
  <sheetData>
    <row r="1" spans="1:10" x14ac:dyDescent="0.2">
      <c r="A1" s="1"/>
    </row>
    <row r="2" spans="1:10" x14ac:dyDescent="0.2">
      <c r="A2" s="1"/>
    </row>
    <row r="3" spans="1:10" x14ac:dyDescent="0.2">
      <c r="A3" s="1"/>
    </row>
    <row r="5" spans="1:10" ht="15.75" x14ac:dyDescent="0.25">
      <c r="A5" s="69" t="s">
        <v>31</v>
      </c>
    </row>
    <row r="6" spans="1:10" x14ac:dyDescent="0.2">
      <c r="A6" s="1" t="s">
        <v>32</v>
      </c>
    </row>
    <row r="7" spans="1:10" x14ac:dyDescent="0.2">
      <c r="A7" s="5"/>
      <c r="B7" s="99" t="s">
        <v>18</v>
      </c>
      <c r="C7" s="100"/>
      <c r="D7" s="101"/>
      <c r="E7" s="102" t="s">
        <v>19</v>
      </c>
      <c r="F7" s="102"/>
      <c r="G7" s="102"/>
      <c r="H7" s="99" t="s">
        <v>20</v>
      </c>
      <c r="I7" s="100"/>
      <c r="J7" s="101"/>
    </row>
    <row r="8" spans="1:10" ht="25.5" x14ac:dyDescent="0.2">
      <c r="A8" s="5" t="s">
        <v>21</v>
      </c>
      <c r="B8" s="12" t="s">
        <v>22</v>
      </c>
      <c r="C8" s="13" t="s">
        <v>23</v>
      </c>
      <c r="D8" s="14" t="s">
        <v>24</v>
      </c>
      <c r="E8" s="12" t="s">
        <v>22</v>
      </c>
      <c r="F8" s="13" t="s">
        <v>23</v>
      </c>
      <c r="G8" s="14" t="s">
        <v>25</v>
      </c>
      <c r="H8" s="12" t="s">
        <v>22</v>
      </c>
      <c r="I8" s="13" t="s">
        <v>23</v>
      </c>
      <c r="J8" s="14" t="s">
        <v>24</v>
      </c>
    </row>
    <row r="9" spans="1:10" x14ac:dyDescent="0.2">
      <c r="A9" s="6" t="str">
        <f>GivenData!A4</f>
        <v>Jan. 1</v>
      </c>
      <c r="B9" s="53" t="s">
        <v>26</v>
      </c>
      <c r="C9" s="60"/>
      <c r="D9" s="58"/>
      <c r="E9" s="53"/>
      <c r="F9" s="60"/>
      <c r="G9" s="58"/>
      <c r="H9" s="53"/>
      <c r="I9" s="60"/>
      <c r="J9" s="58"/>
    </row>
    <row r="10" spans="1:10" x14ac:dyDescent="0.2">
      <c r="A10" s="16"/>
      <c r="B10" s="51">
        <f>GivenData!C4</f>
        <v>600</v>
      </c>
      <c r="C10" s="61">
        <f>GivenData!E4</f>
        <v>105</v>
      </c>
      <c r="D10" s="56">
        <f>B10*C10</f>
        <v>63000</v>
      </c>
      <c r="E10" s="51"/>
      <c r="F10" s="61"/>
      <c r="G10" s="56"/>
      <c r="H10" s="51">
        <f>+B10</f>
        <v>600</v>
      </c>
      <c r="I10" s="61">
        <f>+C10</f>
        <v>105</v>
      </c>
      <c r="J10" s="56">
        <f>+I10*H10</f>
        <v>63000</v>
      </c>
    </row>
    <row r="11" spans="1:10" x14ac:dyDescent="0.2">
      <c r="A11" s="4"/>
      <c r="B11" s="52"/>
      <c r="C11" s="62"/>
      <c r="D11" s="57"/>
      <c r="E11" s="52"/>
      <c r="F11" s="62"/>
      <c r="G11" s="57"/>
      <c r="H11" s="52"/>
      <c r="I11" s="62"/>
      <c r="J11" s="57"/>
    </row>
    <row r="12" spans="1:10" x14ac:dyDescent="0.2">
      <c r="A12" s="8" t="str">
        <f>GivenData!A5</f>
        <v>Feb. 13</v>
      </c>
      <c r="B12" s="64"/>
      <c r="C12" s="65"/>
      <c r="D12" s="66"/>
      <c r="E12" s="53"/>
      <c r="F12" s="60"/>
      <c r="G12" s="58"/>
      <c r="H12" s="53">
        <f>+H10</f>
        <v>600</v>
      </c>
      <c r="I12" s="60">
        <f>+I10</f>
        <v>105</v>
      </c>
      <c r="J12" s="58">
        <f>+J10</f>
        <v>63000</v>
      </c>
    </row>
    <row r="13" spans="1:10" x14ac:dyDescent="0.2">
      <c r="A13" s="7"/>
      <c r="B13" s="51">
        <v>200</v>
      </c>
      <c r="C13" s="61">
        <v>109</v>
      </c>
      <c r="D13" s="56">
        <f>+C13*B13</f>
        <v>21800</v>
      </c>
      <c r="E13" s="51"/>
      <c r="F13" s="61"/>
      <c r="G13" s="56"/>
      <c r="H13" s="51">
        <f>+B13</f>
        <v>200</v>
      </c>
      <c r="I13" s="61">
        <f>+C13</f>
        <v>109</v>
      </c>
      <c r="J13" s="56">
        <f>+D13</f>
        <v>21800</v>
      </c>
    </row>
    <row r="14" spans="1:10" x14ac:dyDescent="0.2">
      <c r="A14" s="4"/>
      <c r="B14" s="52"/>
      <c r="C14" s="62"/>
      <c r="D14" s="57"/>
      <c r="E14" s="52"/>
      <c r="F14" s="62"/>
      <c r="G14" s="57"/>
      <c r="H14" s="52"/>
      <c r="I14" s="62"/>
      <c r="J14" s="57"/>
    </row>
    <row r="15" spans="1:10" x14ac:dyDescent="0.2">
      <c r="A15" s="8" t="str">
        <f>GivenData!A11</f>
        <v>Feb. 15</v>
      </c>
      <c r="B15" s="53"/>
      <c r="C15" s="60"/>
      <c r="D15" s="58"/>
      <c r="E15" s="53">
        <v>175</v>
      </c>
      <c r="F15" s="60">
        <v>105</v>
      </c>
      <c r="G15" s="58">
        <f>+E15*F15</f>
        <v>18375</v>
      </c>
      <c r="H15" s="53">
        <f>+H12-E15</f>
        <v>425</v>
      </c>
      <c r="I15" s="60">
        <f>+I12</f>
        <v>105</v>
      </c>
      <c r="J15" s="58">
        <f>+H15*I15</f>
        <v>44625</v>
      </c>
    </row>
    <row r="16" spans="1:10" x14ac:dyDescent="0.2">
      <c r="A16" s="7"/>
      <c r="B16" s="51"/>
      <c r="C16" s="61"/>
      <c r="D16" s="56"/>
      <c r="E16" s="71">
        <v>125</v>
      </c>
      <c r="F16" s="61">
        <f>+I13</f>
        <v>109</v>
      </c>
      <c r="G16" s="73">
        <f>+E16*F16</f>
        <v>13625</v>
      </c>
      <c r="H16" s="51">
        <f>+H13-E16</f>
        <v>75</v>
      </c>
      <c r="I16" s="61">
        <f>+I13</f>
        <v>109</v>
      </c>
      <c r="J16" s="56">
        <f>+J13-G16</f>
        <v>8175</v>
      </c>
    </row>
    <row r="17" spans="1:10" x14ac:dyDescent="0.2">
      <c r="A17" s="4"/>
      <c r="B17" s="52"/>
      <c r="C17" s="62"/>
      <c r="D17" s="57"/>
      <c r="E17" s="52">
        <f>SUM(E15:E16)</f>
        <v>300</v>
      </c>
      <c r="F17" s="62"/>
      <c r="G17" s="57">
        <f>SUM(G15:G16)</f>
        <v>32000</v>
      </c>
      <c r="H17" s="52"/>
      <c r="I17" s="62"/>
      <c r="J17" s="57"/>
    </row>
    <row r="18" spans="1:10" x14ac:dyDescent="0.2">
      <c r="A18" s="8" t="str">
        <f>GivenData!A6</f>
        <v>Aug. 5</v>
      </c>
      <c r="B18" s="53"/>
      <c r="C18" s="60"/>
      <c r="D18" s="58"/>
      <c r="E18" s="53"/>
      <c r="F18" s="60"/>
      <c r="G18" s="58"/>
      <c r="H18" s="53">
        <f t="shared" ref="H18:J19" si="0">+H15</f>
        <v>425</v>
      </c>
      <c r="I18" s="60">
        <f t="shared" si="0"/>
        <v>105</v>
      </c>
      <c r="J18" s="58">
        <f t="shared" si="0"/>
        <v>44625</v>
      </c>
    </row>
    <row r="19" spans="1:10" x14ac:dyDescent="0.2">
      <c r="A19" s="7"/>
      <c r="B19" s="51"/>
      <c r="C19" s="61"/>
      <c r="D19" s="56"/>
      <c r="E19" s="51"/>
      <c r="F19" s="61"/>
      <c r="G19" s="56"/>
      <c r="H19" s="51">
        <f t="shared" si="0"/>
        <v>75</v>
      </c>
      <c r="I19" s="61">
        <f t="shared" si="0"/>
        <v>109</v>
      </c>
      <c r="J19" s="56">
        <f t="shared" si="0"/>
        <v>8175</v>
      </c>
    </row>
    <row r="20" spans="1:10" x14ac:dyDescent="0.2">
      <c r="A20" s="4"/>
      <c r="B20" s="52">
        <v>345</v>
      </c>
      <c r="C20" s="62">
        <v>112</v>
      </c>
      <c r="D20" s="57">
        <f>+B20*C20</f>
        <v>38640</v>
      </c>
      <c r="E20" s="52"/>
      <c r="F20" s="62"/>
      <c r="G20" s="57"/>
      <c r="H20" s="52">
        <f>+B20</f>
        <v>345</v>
      </c>
      <c r="I20" s="62">
        <f>+C20</f>
        <v>112</v>
      </c>
      <c r="J20" s="57">
        <f>+H20*I20</f>
        <v>38640</v>
      </c>
    </row>
    <row r="21" spans="1:10" x14ac:dyDescent="0.2">
      <c r="A21" s="8" t="str">
        <f>GivenData!A12</f>
        <v>Aug. 10</v>
      </c>
      <c r="B21" s="53"/>
      <c r="C21" s="60"/>
      <c r="D21" s="58"/>
      <c r="E21" s="53">
        <v>15</v>
      </c>
      <c r="F21" s="60">
        <f>+I18</f>
        <v>105</v>
      </c>
      <c r="G21" s="58">
        <f>+E21*F21</f>
        <v>1575</v>
      </c>
      <c r="H21" s="53">
        <f>+H18-E21</f>
        <v>410</v>
      </c>
      <c r="I21" s="60">
        <f>+I18</f>
        <v>105</v>
      </c>
      <c r="J21" s="58">
        <f>+J18-G21</f>
        <v>43050</v>
      </c>
    </row>
    <row r="22" spans="1:10" x14ac:dyDescent="0.2">
      <c r="A22" s="7"/>
      <c r="B22" s="51"/>
      <c r="C22" s="61"/>
      <c r="D22" s="56"/>
      <c r="G22" s="78"/>
      <c r="H22" s="76">
        <f>+H19</f>
        <v>75</v>
      </c>
      <c r="I22" s="61">
        <f>+I19</f>
        <v>109</v>
      </c>
      <c r="J22" s="56">
        <f>+H22*I22</f>
        <v>8175</v>
      </c>
    </row>
    <row r="23" spans="1:10" x14ac:dyDescent="0.2">
      <c r="A23" s="2"/>
      <c r="B23" s="54"/>
      <c r="C23" s="63"/>
      <c r="D23" s="59"/>
      <c r="E23" s="54">
        <v>320</v>
      </c>
      <c r="F23" s="63">
        <f>+I20</f>
        <v>112</v>
      </c>
      <c r="G23" s="59">
        <f>+E23*F23</f>
        <v>35840</v>
      </c>
      <c r="H23" s="54">
        <f>+H20-E23</f>
        <v>25</v>
      </c>
      <c r="I23" s="63">
        <f>+I20</f>
        <v>112</v>
      </c>
      <c r="J23" s="59">
        <f>+I23*H23</f>
        <v>2800</v>
      </c>
    </row>
    <row r="24" spans="1:10" x14ac:dyDescent="0.2">
      <c r="A24" s="2" t="s">
        <v>27</v>
      </c>
      <c r="B24" s="54"/>
      <c r="C24" s="55"/>
      <c r="D24" s="59"/>
      <c r="E24" s="54"/>
      <c r="F24" s="55"/>
      <c r="G24" s="68">
        <f>SUM(G17:G23)</f>
        <v>69415</v>
      </c>
      <c r="H24" s="54"/>
      <c r="I24" s="55"/>
      <c r="J24" s="68">
        <f>SUM(J21:J23)</f>
        <v>54025</v>
      </c>
    </row>
    <row r="25" spans="1:10" ht="13.5" thickBot="1" x14ac:dyDescent="0.25">
      <c r="A25" s="15"/>
      <c r="B25" s="103"/>
      <c r="C25" s="103"/>
      <c r="D25" s="103"/>
      <c r="E25" s="104" t="s">
        <v>25</v>
      </c>
      <c r="F25" s="103"/>
      <c r="G25" s="103"/>
      <c r="H25" s="105" t="s">
        <v>28</v>
      </c>
      <c r="I25" s="103"/>
      <c r="J25" s="103"/>
    </row>
  </sheetData>
  <mergeCells count="6">
    <mergeCell ref="B7:D7"/>
    <mergeCell ref="E7:G7"/>
    <mergeCell ref="H7:J7"/>
    <mergeCell ref="B25:D25"/>
    <mergeCell ref="E25:G25"/>
    <mergeCell ref="H25:J25"/>
  </mergeCells>
  <phoneticPr fontId="1" type="noConversion"/>
  <printOptions horizontalCentered="1"/>
  <pageMargins left="0.25" right="0.25" top="0.75" bottom="0.75" header="0.3" footer="0.3"/>
  <pageSetup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1"/>
  <sheetViews>
    <sheetView showGridLines="0" workbookViewId="0">
      <selection activeCell="A5" sqref="A5"/>
    </sheetView>
  </sheetViews>
  <sheetFormatPr defaultColWidth="8.85546875" defaultRowHeight="12.75" x14ac:dyDescent="0.2"/>
  <cols>
    <col min="2" max="2" width="23" customWidth="1"/>
    <col min="5" max="6" width="9.7109375" bestFit="1" customWidth="1"/>
  </cols>
  <sheetData>
    <row r="1" spans="1:8" x14ac:dyDescent="0.2">
      <c r="A1" s="1"/>
    </row>
    <row r="2" spans="1:8" x14ac:dyDescent="0.2">
      <c r="A2" s="1"/>
    </row>
    <row r="3" spans="1:8" x14ac:dyDescent="0.2">
      <c r="A3" s="1"/>
    </row>
    <row r="4" spans="1:8" ht="18" x14ac:dyDescent="0.25">
      <c r="A4" s="70" t="s">
        <v>33</v>
      </c>
    </row>
    <row r="5" spans="1:8" x14ac:dyDescent="0.2">
      <c r="A5" s="67" t="s">
        <v>34</v>
      </c>
    </row>
    <row r="6" spans="1:8" ht="25.5" customHeight="1" x14ac:dyDescent="0.2">
      <c r="C6" s="106" t="s">
        <v>35</v>
      </c>
      <c r="D6" s="107"/>
      <c r="E6" s="106" t="s">
        <v>36</v>
      </c>
      <c r="F6" s="107"/>
      <c r="G6" s="106" t="s">
        <v>32</v>
      </c>
      <c r="H6" s="107"/>
    </row>
    <row r="7" spans="1:8" x14ac:dyDescent="0.2">
      <c r="A7" s="30" t="s">
        <v>21</v>
      </c>
      <c r="B7" s="31" t="s">
        <v>37</v>
      </c>
      <c r="C7" s="29" t="s">
        <v>38</v>
      </c>
      <c r="D7" s="29" t="s">
        <v>39</v>
      </c>
      <c r="E7" s="29" t="s">
        <v>38</v>
      </c>
      <c r="F7" s="29" t="s">
        <v>39</v>
      </c>
      <c r="G7" s="29" t="s">
        <v>38</v>
      </c>
      <c r="H7" s="29" t="s">
        <v>39</v>
      </c>
    </row>
    <row r="8" spans="1:8" x14ac:dyDescent="0.2">
      <c r="A8" s="18" t="str">
        <f>GivenData!A11</f>
        <v>Feb. 15</v>
      </c>
      <c r="B8" s="79" t="s">
        <v>40</v>
      </c>
      <c r="C8" s="9">
        <f>+F14*'Part 1a-FIFO'!E15</f>
        <v>49500</v>
      </c>
      <c r="D8" s="9"/>
      <c r="E8" s="9">
        <f>+D9</f>
        <v>49500</v>
      </c>
      <c r="F8" s="9"/>
      <c r="G8" s="9">
        <f>+D9</f>
        <v>49500</v>
      </c>
      <c r="H8" s="25"/>
    </row>
    <row r="9" spans="1:8" x14ac:dyDescent="0.2">
      <c r="A9" s="19"/>
      <c r="B9" s="80" t="s">
        <v>41</v>
      </c>
      <c r="C9" s="11"/>
      <c r="D9" s="11">
        <f>+C8</f>
        <v>49500</v>
      </c>
      <c r="E9" s="11"/>
      <c r="F9" s="11">
        <f>+E8</f>
        <v>49500</v>
      </c>
      <c r="G9" s="11"/>
      <c r="H9" s="26">
        <f>+G8</f>
        <v>49500</v>
      </c>
    </row>
    <row r="10" spans="1:8" x14ac:dyDescent="0.2">
      <c r="A10" s="19"/>
      <c r="B10" s="20"/>
      <c r="C10" s="11"/>
      <c r="D10" s="11"/>
      <c r="E10" s="11"/>
      <c r="F10" s="11"/>
      <c r="G10" s="11"/>
      <c r="H10" s="26"/>
    </row>
    <row r="11" spans="1:8" x14ac:dyDescent="0.2">
      <c r="A11" s="19" t="str">
        <f>A8</f>
        <v>Feb. 15</v>
      </c>
      <c r="B11" s="81" t="s">
        <v>25</v>
      </c>
      <c r="C11" s="11">
        <f>+'Part 1a-FIFO'!G15</f>
        <v>31500</v>
      </c>
      <c r="D11" s="11"/>
      <c r="E11" s="11">
        <f>+'Part 1b-Weighted Average'!G16</f>
        <v>31800</v>
      </c>
      <c r="F11" s="11"/>
      <c r="G11" s="11">
        <f>+'Part 2-Specific ID'!G17</f>
        <v>32000</v>
      </c>
      <c r="H11" s="26"/>
    </row>
    <row r="12" spans="1:8" x14ac:dyDescent="0.2">
      <c r="A12" s="19"/>
      <c r="B12" s="80" t="s">
        <v>42</v>
      </c>
      <c r="C12" s="11"/>
      <c r="D12" s="11">
        <f>+C11</f>
        <v>31500</v>
      </c>
      <c r="E12" s="11"/>
      <c r="F12" s="11">
        <f>+E11</f>
        <v>31800</v>
      </c>
      <c r="G12" s="11"/>
      <c r="H12" s="26">
        <f>+G11</f>
        <v>32000</v>
      </c>
    </row>
    <row r="13" spans="1:8" x14ac:dyDescent="0.2">
      <c r="A13" s="19"/>
      <c r="B13" s="20"/>
      <c r="C13" s="19"/>
      <c r="D13" s="19"/>
      <c r="E13" s="11"/>
      <c r="F13" s="11"/>
      <c r="G13" s="19"/>
      <c r="H13" s="7"/>
    </row>
    <row r="14" spans="1:8" x14ac:dyDescent="0.2">
      <c r="A14" s="3"/>
      <c r="B14" s="22" t="s">
        <v>43</v>
      </c>
      <c r="C14" s="3"/>
      <c r="D14" s="3"/>
      <c r="E14" s="10"/>
      <c r="F14" s="82">
        <v>165</v>
      </c>
      <c r="G14" s="3"/>
      <c r="H14" s="2"/>
    </row>
    <row r="15" spans="1:8" x14ac:dyDescent="0.2">
      <c r="A15" s="28" t="s">
        <v>6</v>
      </c>
      <c r="B15" s="79" t="s">
        <v>44</v>
      </c>
      <c r="C15" s="9">
        <f>+'Part 1a-FIFO'!D20</f>
        <v>38640</v>
      </c>
      <c r="D15" s="9"/>
      <c r="E15" s="25">
        <f>+C15</f>
        <v>38640</v>
      </c>
      <c r="F15" s="9"/>
      <c r="G15" s="9">
        <f>+C15</f>
        <v>38640</v>
      </c>
      <c r="H15" s="25"/>
    </row>
    <row r="16" spans="1:8" x14ac:dyDescent="0.2">
      <c r="A16" s="19"/>
      <c r="B16" s="80" t="s">
        <v>45</v>
      </c>
      <c r="C16" s="11"/>
      <c r="D16" s="11">
        <f>+C15</f>
        <v>38640</v>
      </c>
      <c r="E16" s="11"/>
      <c r="F16" s="11">
        <f>+C15</f>
        <v>38640</v>
      </c>
      <c r="G16" s="11"/>
      <c r="H16" s="26">
        <f>+C15</f>
        <v>38640</v>
      </c>
    </row>
    <row r="17" spans="1:8" x14ac:dyDescent="0.2">
      <c r="A17" s="19"/>
      <c r="B17" s="20"/>
      <c r="C17" s="11"/>
      <c r="D17" s="11"/>
      <c r="E17" s="23"/>
      <c r="F17" s="23"/>
      <c r="G17" s="11"/>
      <c r="H17" s="26"/>
    </row>
    <row r="18" spans="1:8" x14ac:dyDescent="0.2">
      <c r="A18" s="19"/>
      <c r="B18" s="21"/>
      <c r="C18" s="11"/>
      <c r="D18" s="11"/>
      <c r="E18" s="23"/>
      <c r="F18" s="23"/>
      <c r="G18" s="11"/>
      <c r="H18" s="26"/>
    </row>
    <row r="19" spans="1:8" x14ac:dyDescent="0.2">
      <c r="A19" s="19"/>
      <c r="B19" s="21"/>
      <c r="C19" s="11"/>
      <c r="D19" s="11"/>
      <c r="E19" s="23"/>
      <c r="F19" s="23"/>
      <c r="G19" s="11"/>
      <c r="H19" s="26"/>
    </row>
    <row r="20" spans="1:8" x14ac:dyDescent="0.2">
      <c r="A20" s="19"/>
      <c r="B20" s="21"/>
      <c r="C20" s="11"/>
      <c r="D20" s="11"/>
      <c r="E20" s="23"/>
      <c r="F20" s="23"/>
      <c r="G20" s="11"/>
      <c r="H20" s="26"/>
    </row>
    <row r="21" spans="1:8" x14ac:dyDescent="0.2">
      <c r="A21" s="3"/>
      <c r="B21" s="32" t="s">
        <v>46</v>
      </c>
      <c r="C21" s="10"/>
      <c r="D21" s="10"/>
      <c r="E21" s="24"/>
      <c r="F21" s="24"/>
      <c r="G21" s="10"/>
      <c r="H21" s="27"/>
    </row>
  </sheetData>
  <mergeCells count="3">
    <mergeCell ref="C6:D6"/>
    <mergeCell ref="E6:F6"/>
    <mergeCell ref="G6:H6"/>
  </mergeCells>
  <phoneticPr fontId="1" type="noConversion"/>
  <pageMargins left="0.75" right="0.75" top="1" bottom="1" header="0.5" footer="0.5"/>
  <pageSetup orientation="portrait" horizontalDpi="0" verticalDpi="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5" workbookViewId="0">
      <selection activeCell="A32" sqref="A32"/>
    </sheetView>
  </sheetViews>
  <sheetFormatPr defaultRowHeight="12.75" x14ac:dyDescent="0.2"/>
  <cols>
    <col min="4" max="4" width="10.7109375" customWidth="1"/>
    <col min="5" max="5" width="11.42578125" style="85" customWidth="1"/>
    <col min="6" max="6" width="10.7109375" bestFit="1" customWidth="1"/>
    <col min="8" max="8" width="11.85546875" customWidth="1"/>
    <col min="10" max="10" width="11.28515625" bestFit="1" customWidth="1"/>
  </cols>
  <sheetData>
    <row r="1" spans="1:6" ht="18" x14ac:dyDescent="0.25">
      <c r="A1" s="70" t="s">
        <v>35</v>
      </c>
      <c r="D1" s="67" t="s">
        <v>47</v>
      </c>
    </row>
    <row r="2" spans="1:6" ht="15.75" x14ac:dyDescent="0.25">
      <c r="A2" s="69" t="s">
        <v>48</v>
      </c>
      <c r="D2" s="67"/>
    </row>
    <row r="4" spans="1:6" x14ac:dyDescent="0.2">
      <c r="A4" s="67" t="s">
        <v>49</v>
      </c>
      <c r="B4" s="67" t="s">
        <v>50</v>
      </c>
      <c r="C4" s="85">
        <v>600</v>
      </c>
      <c r="D4">
        <v>105</v>
      </c>
      <c r="E4" s="85">
        <f>+C4*D4</f>
        <v>63000</v>
      </c>
    </row>
    <row r="5" spans="1:6" x14ac:dyDescent="0.2">
      <c r="B5" s="92">
        <v>42048</v>
      </c>
      <c r="C5" s="85">
        <v>200</v>
      </c>
      <c r="D5">
        <v>109</v>
      </c>
      <c r="E5" s="85">
        <f t="shared" ref="E5:E6" si="0">+C5*D5</f>
        <v>21800</v>
      </c>
    </row>
    <row r="6" spans="1:6" x14ac:dyDescent="0.2">
      <c r="B6" s="92">
        <v>42221</v>
      </c>
      <c r="C6" s="85">
        <v>345</v>
      </c>
      <c r="D6">
        <v>112</v>
      </c>
      <c r="E6" s="85">
        <f t="shared" si="0"/>
        <v>38640</v>
      </c>
    </row>
    <row r="7" spans="1:6" ht="13.5" thickBot="1" x14ac:dyDescent="0.25">
      <c r="C7" s="93">
        <f>SUM(C4:C6)</f>
        <v>1145</v>
      </c>
      <c r="E7" s="94">
        <f>SUM(E4:E6)</f>
        <v>123440</v>
      </c>
    </row>
    <row r="8" spans="1:6" ht="13.5" thickTop="1" x14ac:dyDescent="0.2">
      <c r="C8" s="85"/>
    </row>
    <row r="9" spans="1:6" x14ac:dyDescent="0.2">
      <c r="A9" s="67" t="s">
        <v>51</v>
      </c>
      <c r="B9" s="92">
        <v>42050</v>
      </c>
      <c r="C9" s="85">
        <v>300</v>
      </c>
      <c r="D9">
        <v>105</v>
      </c>
      <c r="E9" s="85">
        <f t="shared" ref="E9:E20" si="1">+C9*D9</f>
        <v>31500</v>
      </c>
    </row>
    <row r="10" spans="1:6" x14ac:dyDescent="0.2">
      <c r="C10" s="85"/>
    </row>
    <row r="11" spans="1:6" x14ac:dyDescent="0.2">
      <c r="B11" s="92">
        <v>42226</v>
      </c>
      <c r="C11" s="85">
        <v>300</v>
      </c>
      <c r="D11">
        <v>105</v>
      </c>
      <c r="E11" s="85">
        <f t="shared" si="1"/>
        <v>31500</v>
      </c>
    </row>
    <row r="12" spans="1:6" x14ac:dyDescent="0.2">
      <c r="C12" s="85">
        <v>35</v>
      </c>
      <c r="D12">
        <v>109</v>
      </c>
      <c r="E12" s="85">
        <f t="shared" si="1"/>
        <v>3815</v>
      </c>
    </row>
    <row r="13" spans="1:6" ht="13.5" thickBot="1" x14ac:dyDescent="0.25">
      <c r="C13" s="85"/>
      <c r="E13" s="97">
        <f>SUM(E9:E12)</f>
        <v>66815</v>
      </c>
      <c r="F13" s="98" t="s">
        <v>25</v>
      </c>
    </row>
    <row r="14" spans="1:6" ht="13.5" thickTop="1" x14ac:dyDescent="0.2">
      <c r="C14" s="85"/>
    </row>
    <row r="15" spans="1:6" x14ac:dyDescent="0.2">
      <c r="C15" s="85"/>
    </row>
    <row r="16" spans="1:6" x14ac:dyDescent="0.2">
      <c r="C16" s="85"/>
    </row>
    <row r="17" spans="1:6" x14ac:dyDescent="0.2">
      <c r="C17" s="85"/>
    </row>
    <row r="18" spans="1:6" x14ac:dyDescent="0.2">
      <c r="A18" s="67" t="s">
        <v>52</v>
      </c>
      <c r="B18" s="67" t="s">
        <v>50</v>
      </c>
      <c r="C18" s="85">
        <v>0</v>
      </c>
      <c r="D18">
        <v>105</v>
      </c>
      <c r="E18" s="85">
        <f t="shared" si="1"/>
        <v>0</v>
      </c>
    </row>
    <row r="19" spans="1:6" x14ac:dyDescent="0.2">
      <c r="B19" s="92">
        <v>42048</v>
      </c>
      <c r="C19" s="85">
        <f>+C5-C12</f>
        <v>165</v>
      </c>
      <c r="D19">
        <v>109</v>
      </c>
      <c r="E19" s="85">
        <f t="shared" si="1"/>
        <v>17985</v>
      </c>
    </row>
    <row r="20" spans="1:6" x14ac:dyDescent="0.2">
      <c r="B20" s="92">
        <v>42221</v>
      </c>
      <c r="C20" s="85">
        <f>+C6</f>
        <v>345</v>
      </c>
      <c r="D20">
        <f>D6</f>
        <v>112</v>
      </c>
      <c r="E20" s="85">
        <f t="shared" si="1"/>
        <v>38640</v>
      </c>
    </row>
    <row r="21" spans="1:6" ht="13.5" thickBot="1" x14ac:dyDescent="0.25">
      <c r="C21" s="93">
        <f>SUM(C18:C20)</f>
        <v>510</v>
      </c>
      <c r="E21" s="95">
        <f>SUM(E18:E20)</f>
        <v>56625</v>
      </c>
      <c r="F21" s="98" t="s">
        <v>28</v>
      </c>
    </row>
    <row r="22" spans="1:6" ht="13.5" thickTop="1" x14ac:dyDescent="0.2"/>
    <row r="23" spans="1:6" x14ac:dyDescent="0.2">
      <c r="A23" s="67"/>
    </row>
    <row r="30" spans="1:6" ht="18" x14ac:dyDescent="0.25">
      <c r="A30" s="70" t="s">
        <v>53</v>
      </c>
    </row>
    <row r="31" spans="1:6" ht="15.75" x14ac:dyDescent="0.25">
      <c r="A31" s="69" t="str">
        <f>+A2</f>
        <v>Part 4</v>
      </c>
    </row>
    <row r="33" spans="1:8" x14ac:dyDescent="0.2">
      <c r="A33" s="1" t="s">
        <v>54</v>
      </c>
    </row>
    <row r="34" spans="1:8" x14ac:dyDescent="0.2">
      <c r="A34" s="67" t="s">
        <v>55</v>
      </c>
      <c r="B34" s="83" t="s">
        <v>56</v>
      </c>
      <c r="C34" s="85"/>
      <c r="E34"/>
      <c r="F34" s="1" t="s">
        <v>57</v>
      </c>
    </row>
    <row r="35" spans="1:8" x14ac:dyDescent="0.2">
      <c r="B35" s="67" t="s">
        <v>58</v>
      </c>
      <c r="C35" s="85"/>
      <c r="E35"/>
      <c r="F35" s="67" t="s">
        <v>59</v>
      </c>
      <c r="H35">
        <v>600</v>
      </c>
    </row>
    <row r="36" spans="1:8" x14ac:dyDescent="0.2">
      <c r="C36" s="85"/>
      <c r="E36"/>
      <c r="F36" s="67" t="s">
        <v>60</v>
      </c>
      <c r="H36" s="83">
        <v>545</v>
      </c>
    </row>
    <row r="37" spans="1:8" x14ac:dyDescent="0.2">
      <c r="A37" s="67" t="s">
        <v>55</v>
      </c>
      <c r="B37" s="83" t="s">
        <v>61</v>
      </c>
      <c r="C37" s="85"/>
      <c r="E37"/>
      <c r="F37" s="67" t="s">
        <v>62</v>
      </c>
      <c r="H37">
        <f>SUM(H35:H36)</f>
        <v>1145</v>
      </c>
    </row>
    <row r="38" spans="1:8" ht="15" x14ac:dyDescent="0.35">
      <c r="B38" s="67" t="s">
        <v>63</v>
      </c>
      <c r="C38" s="85"/>
      <c r="E38"/>
      <c r="F38" s="67" t="s">
        <v>64</v>
      </c>
      <c r="H38" s="86">
        <f>-1*635</f>
        <v>-635</v>
      </c>
    </row>
    <row r="39" spans="1:8" ht="15" x14ac:dyDescent="0.35">
      <c r="C39" s="85"/>
      <c r="E39"/>
      <c r="F39" s="67" t="s">
        <v>28</v>
      </c>
      <c r="H39" s="89">
        <f>SUM(H37:H38)</f>
        <v>510</v>
      </c>
    </row>
    <row r="40" spans="1:8" x14ac:dyDescent="0.2">
      <c r="A40" s="67" t="s">
        <v>55</v>
      </c>
      <c r="B40" s="84" t="s">
        <v>65</v>
      </c>
      <c r="C40" s="85"/>
      <c r="E40"/>
    </row>
    <row r="41" spans="1:8" x14ac:dyDescent="0.2">
      <c r="B41" s="67" t="s">
        <v>66</v>
      </c>
      <c r="C41" s="85"/>
      <c r="E41"/>
      <c r="F41" s="1" t="s">
        <v>67</v>
      </c>
    </row>
    <row r="42" spans="1:8" x14ac:dyDescent="0.2">
      <c r="C42" s="85"/>
      <c r="E42"/>
      <c r="H42" s="90">
        <f>+D43</f>
        <v>107.80786026200873</v>
      </c>
    </row>
    <row r="43" spans="1:8" ht="15.75" thickBot="1" x14ac:dyDescent="0.4">
      <c r="A43" s="67" t="s">
        <v>55</v>
      </c>
      <c r="B43" s="86">
        <f>+'Part 1a-FIFO'!D24</f>
        <v>123440</v>
      </c>
      <c r="C43" s="88" t="s">
        <v>55</v>
      </c>
      <c r="D43" s="87">
        <f>+B43/B44</f>
        <v>107.80786026200873</v>
      </c>
      <c r="E43"/>
      <c r="G43" s="67" t="s">
        <v>68</v>
      </c>
      <c r="H43" s="91">
        <f>+H39</f>
        <v>510</v>
      </c>
    </row>
    <row r="44" spans="1:8" ht="15.75" thickTop="1" x14ac:dyDescent="0.35">
      <c r="B44" s="85">
        <f>+'Part 1a-FIFO'!B24</f>
        <v>1145</v>
      </c>
      <c r="C44" s="85"/>
      <c r="E44"/>
      <c r="H44" s="96">
        <f>+H43*H42</f>
        <v>54982.008733624454</v>
      </c>
    </row>
    <row r="45" spans="1:8" x14ac:dyDescent="0.2">
      <c r="C45" s="85"/>
      <c r="E45"/>
    </row>
    <row r="46" spans="1:8" x14ac:dyDescent="0.2">
      <c r="C46" s="85"/>
      <c r="E46"/>
      <c r="F46" s="1" t="s">
        <v>69</v>
      </c>
    </row>
    <row r="47" spans="1:8" x14ac:dyDescent="0.2">
      <c r="C47" s="85"/>
      <c r="E47"/>
      <c r="H47" s="90">
        <f>+D43</f>
        <v>107.80786026200873</v>
      </c>
    </row>
    <row r="48" spans="1:8" ht="15" x14ac:dyDescent="0.35">
      <c r="C48" s="85"/>
      <c r="E48"/>
      <c r="G48" s="67" t="s">
        <v>68</v>
      </c>
      <c r="H48" s="91">
        <f>-1*H38</f>
        <v>635</v>
      </c>
    </row>
    <row r="49" spans="3:8" ht="15" x14ac:dyDescent="0.35">
      <c r="C49" s="85"/>
      <c r="E49"/>
      <c r="H49" s="96">
        <f>+H47*H48</f>
        <v>68457.991266375539</v>
      </c>
    </row>
    <row r="50" spans="3:8" x14ac:dyDescent="0.2">
      <c r="C50" s="85"/>
      <c r="E50"/>
    </row>
  </sheetData>
  <pageMargins left="0.7" right="0.7" top="0.75" bottom="0.75" header="0.3" footer="0.3"/>
  <pageSetup orientation="portrait" horizontalDpi="0" verticalDpi="0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GivenData</vt:lpstr>
      <vt:lpstr>Part 1a-FIFO</vt:lpstr>
      <vt:lpstr>Part 1b-Weighted Average</vt:lpstr>
      <vt:lpstr>Part 2-Specific ID</vt:lpstr>
      <vt:lpstr>Part 3</vt:lpstr>
      <vt:lpstr>Part 4</vt:lpstr>
    </vt:vector>
  </TitlesOfParts>
  <Manager/>
  <Company>Acadia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feltmate</dc:creator>
  <cp:keywords/>
  <dc:description/>
  <cp:lastModifiedBy>Windows User</cp:lastModifiedBy>
  <cp:revision/>
  <dcterms:created xsi:type="dcterms:W3CDTF">2006-10-13T13:52:27Z</dcterms:created>
  <dcterms:modified xsi:type="dcterms:W3CDTF">2023-11-03T22:09:57Z</dcterms:modified>
  <cp:category/>
  <cp:contentStatus/>
</cp:coreProperties>
</file>